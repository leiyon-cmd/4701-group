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3c4923a32346cc" /></Relationships>
</file>

<file path=xl/workbook.xml><?xml version="1.0" encoding="utf-8"?>
<x:workbook xmlns:x="http://schemas.openxmlformats.org/spreadsheetml/2006/main">
  <x:sheets>
    <x:sheet xmlns:r="http://schemas.openxmlformats.org/officeDocument/2006/relationships" name="BA_job_postings" sheetId="1" r:id="R77d836aeec3f49bd"/>
    <x:sheet xmlns:r="http://schemas.openxmlformats.org/officeDocument/2006/relationships" name="Coding_Rules" sheetId="2" r:id="Rb8049b441a3a4175"/>
    <x:sheet xmlns:r="http://schemas.openxmlformats.org/officeDocument/2006/relationships" name="Collection_Protocol" sheetId="3" r:id="Rb26ab3f075af4c5e"/>
    <x:sheet xmlns:r="http://schemas.openxmlformats.org/officeDocument/2006/relationships" name="README" sheetId="4" r:id="R40f2027e57f8409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7">
    <x:font>
      <x:sz val="11"/>
      <x:name val="Carlito"/>
    </x:font>
    <x:font>
      <x:sz val="11"/>
      <x:color rgb="FF203444"/>
      <x:name val="Noto Sans CJK SC"/>
    </x:font>
    <x:font>
      <x:b/>
      <x:sz val="11"/>
      <x:color rgb="FFFFFFFF"/>
      <x:name val="Noto Sans CJK SC"/>
    </x:font>
    <x:font>
      <x:sz val="10"/>
      <x:color rgb="FF176D9A"/>
      <x:name val="Noto Sans CJK SC"/>
    </x:font>
    <x:font>
      <x:b/>
      <x:sz val="12"/>
      <x:color rgb="FFFFFFFF"/>
      <x:name val="Noto Sans CJK SC"/>
    </x:font>
    <x:font>
      <x:b/>
      <x:sz val="11"/>
      <x:color rgb="FF526778"/>
      <x:name val="Noto Sans CJK SC"/>
    </x:font>
    <x:font>
      <x:b/>
      <x:sz val="14"/>
      <x:color rgb="FF087E8B"/>
      <x:name val="Noto Sans CJK SC"/>
    </x:font>
  </x:fonts>
  <x:fills count="5">
    <x:fill>
      <x:patternFill patternType="none"/>
    </x:fill>
    <x:fill>
      <x:patternFill patternType="gray125"/>
    </x:fill>
    <x:fill>
      <x:patternFill patternType="solid">
        <x:fgColor rgb="FF17364D"/>
      </x:patternFill>
    </x:fill>
    <x:fill>
      <x:patternFill patternType="solid">
        <x:fgColor rgb="FFEEF5F8"/>
      </x:patternFill>
    </x:fill>
    <x:fill>
      <x:patternFill patternType="solid">
        <x:fgColor rgb="FFFFFFFF"/>
      </x:patternFill>
    </x:fill>
  </x:fills>
  <x:borders count="1">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1" fontId="1" fillId="3" borderId="0" xfId="0" applyNumberFormat="1" applyFont="1" applyFill="1" applyBorder="1" applyAlignment="1">
      <x:alignment horizontal="center" vertical="center" wrapText="1"/>
    </x:xf>
    <x:xf numFmtId="202" fontId="1" fillId="3"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1" fontId="1" fillId="4" borderId="0" xfId="0" applyNumberFormat="1" applyFont="1" applyFill="1" applyBorder="1" applyAlignment="1">
      <x:alignment horizontal="center" vertical="center" wrapText="1"/>
    </x:xf>
    <x:xf numFmtId="202" fontId="1" fillId="4"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dxfs count="1">
    <x:dxf>
      <x:font>
        <x:b/>
        <x:color rgb="FF16553C"/>
      </x:font>
      <x:fill>
        <x:patternFill patternType="solid">
          <x:bgColor rgb="FFC7E8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7ea237a1e5466d" /><Relationship Type="http://schemas.openxmlformats.org/officeDocument/2006/relationships/theme" Target="/xl/theme/theme1.xml" Id="Rfe9a8ae860624ade" /><Relationship Type="http://schemas.openxmlformats.org/officeDocument/2006/relationships/sharedStrings" Target="/xl/sharedStrings.xml" Id="Rdce2f4bd3b464d5b" /><Relationship Type="http://schemas.openxmlformats.org/officeDocument/2006/relationships/worksheet" Target="/xl/worksheets/sheet1.xml" Id="R77d836aeec3f49bd" /><Relationship Type="http://schemas.openxmlformats.org/officeDocument/2006/relationships/worksheet" Target="/xl/worksheets/sheet2.xml" Id="Rb8049b441a3a4175" /><Relationship Type="http://schemas.openxmlformats.org/officeDocument/2006/relationships/worksheet" Target="/xl/worksheets/sheet3.xml" Id="Rb26ab3f075af4c5e" /><Relationship Type="http://schemas.openxmlformats.org/officeDocument/2006/relationships/worksheet" Target="/xl/worksheets/sheet4.xml" Id="R40f2027e57f84090" /></Relationships>
</file>

<file path=xl/tables/table1.xml><?xml version="1.0" encoding="utf-8"?>
<x:table xmlns:x="http://schemas.openxmlformats.org/spreadsheetml/2006/main" id="1" name="BAPostings" displayName="BAPostings" ref="A1:O101" headerRowCount="1" totalsRowCount="0" totalsRowShown="0">
  <x:tableColumns count="15">
    <x:tableColumn id="1" name="Job_ID"/>
    <x:tableColumn id="2" name="Job_Title"/>
    <x:tableColumn id="3" name="Company"/>
    <x:tableColumn id="4" name="Industry"/>
    <x:tableColumn id="5" name="City"/>
    <x:tableColumn id="6" name="Salary"/>
    <x:tableColumn id="7" name="Experience"/>
    <x:tableColumn id="8" name="Education"/>
    <x:tableColumn id="9" name="Skills"/>
    <x:tableColumn id="10" name="Job_Description"/>
    <x:tableColumn id="11" name="AI_Required"/>
    <x:tableColumn id="12" name="AI_Terms"/>
    <x:tableColumn id="13" name="Source"/>
    <x:tableColumn id="14" name="Collection_Date"/>
    <x:tableColumn id="1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e7c634ab4b4b79" /></Relationships>
</file>

<file path=xl/worksheets/sheet1.xml><?xml version="1.0" encoding="utf-8"?>
<x:worksheet xmlns:x="http://schemas.openxmlformats.org/spreadsheetml/2006/main">
  <x:sheetPr>
    <x:tabColor rgb="FF17364D"/>
  </x:sheetPr>
  <x:sheetViews>
    <x:sheetView showGridLines="0" workbookViewId="0">
      <x:pane xSplit="2" ySplit="1" topLeftCell="C2" activePane="bottomRight" state="frozen"/>
    </x:sheetView>
  </x:sheetViews>
  <x:sheetFormatPr defaultRowHeight="15"/>
  <x:cols>
    <x:col min="1" max="1" width="9" hidden="0" customWidth="1"/>
    <x:col min="2" max="2" width="35" hidden="0" customWidth="1"/>
    <x:col min="3" max="3" width="27" hidden="0" customWidth="1"/>
    <x:col min="4" max="4" width="18" hidden="0" customWidth="1"/>
    <x:col min="5" max="5" width="10" hidden="0" customWidth="1"/>
    <x:col min="6" max="6" width="19" hidden="0" customWidth="1"/>
    <x:col min="7" max="7" width="13" hidden="0" customWidth="1"/>
    <x:col min="8" max="8" width="12" hidden="0" customWidth="1"/>
    <x:col min="9" max="9" width="37" hidden="0" customWidth="1"/>
    <x:col min="10" max="10" width="64" hidden="0" customWidth="1"/>
    <x:col min="11" max="11" width="14" hidden="0" customWidth="1"/>
    <x:col min="12" max="12" width="29" hidden="0" customWidth="1"/>
    <x:col min="13" max="13" width="15" hidden="0" customWidth="1"/>
    <x:col min="14" max="14" width="19" hidden="0" customWidth="1"/>
    <x:col min="15" max="15" width="63" hidden="0" customWidth="1"/>
  </x:cols>
  <x:sheetData>
    <x:row r="1" ht="36" customHeight="1">
      <x:c r="A1" s="5" t="str">
        <x:v>Job_ID</x:v>
      </x:c>
      <x:c r="B1" s="5" t="str">
        <x:v>Job_Title</x:v>
      </x:c>
      <x:c r="C1" s="5" t="str">
        <x:v>Company</x:v>
      </x:c>
      <x:c r="D1" s="5" t="str">
        <x:v>Industry</x:v>
      </x:c>
      <x:c r="E1" s="5" t="str">
        <x:v>City</x:v>
      </x:c>
      <x:c r="F1" s="5" t="str">
        <x:v>Salary</x:v>
      </x:c>
      <x:c r="G1" s="5" t="str">
        <x:v>Experience</x:v>
      </x:c>
      <x:c r="H1" s="5" t="str">
        <x:v>Education</x:v>
      </x:c>
      <x:c r="I1" s="5" t="str">
        <x:v>Skills</x:v>
      </x:c>
      <x:c r="J1" s="5" t="str">
        <x:v>Job_Description</x:v>
      </x:c>
      <x:c r="K1" s="5" t="str">
        <x:v>AI_Required</x:v>
      </x:c>
      <x:c r="L1" s="5" t="str">
        <x:v>AI_Terms</x:v>
      </x:c>
      <x:c r="M1" s="5" t="str">
        <x:v>Source</x:v>
      </x:c>
      <x:c r="N1" s="5" t="str">
        <x:v>Collection_Date</x:v>
      </x:c>
      <x:c r="O1" s="5" t="str">
        <x:v>URL</x:v>
      </x:c>
    </x:row>
    <x:row r="2" ht="62" customHeight="1">
      <x:c r="A2" s="11" t="str">
        <x:v>001</x:v>
      </x:c>
      <x:c r="B2" s="12" t="str">
        <x:v>数据分析师（能源行业）</x:v>
      </x:c>
      <x:c r="C2" s="12" t="str">
        <x:v>数洋智慧</x:v>
      </x:c>
      <x:c r="D2" s="12" t="str">
        <x:v>人工智能</x:v>
      </x:c>
      <x:c r="E2" s="12" t="str">
        <x:v>北京</x:v>
      </x:c>
      <x:c r="F2" s="13" t="str">
        <x:v>12-22K</x:v>
      </x:c>
      <x:c r="G2" s="12" t="str">
        <x:v>1-3年</x:v>
      </x:c>
      <x:c r="H2" s="12" t="str">
        <x:v>本科</x:v>
      </x:c>
      <x:c r="I2" s="12" t="str">
        <x:v>统计分析; 机器学习; 分析报告</x:v>
      </x:c>
      <x:c r="J2" s="12" t="str">
        <x:v>公开JD摘要：以统计分析和机器学习研究电力业务，提供改进策略。</x:v>
      </x:c>
      <x:c r="K2" s="14" t="n">
        <x:v>1</x:v>
      </x:c>
      <x:c r="L2" s="12" t="str">
        <x:v>机器学习</x:v>
      </x:c>
      <x:c r="M2" s="12" t="str">
        <x:v>BOSS直聘</x:v>
      </x:c>
      <x:c r="N2" s="15" t="n">
        <x:v>46293</x:v>
      </x:c>
      <x:c r="O2" s="21" t="str">
        <x:v>https://www.zhipin.com/zhaopin/d79aff64a051eaac03Nz09u0EQ~~/</x:v>
      </x:c>
    </x:row>
    <x:row r="3" ht="62" customHeight="1">
      <x:c r="A3" s="16" t="str">
        <x:v>002</x:v>
      </x:c>
      <x:c r="B3" s="17" t="str">
        <x:v>数据分析师（电商业务）</x:v>
      </x:c>
      <x:c r="C3" s="17" t="str">
        <x:v>图拉斯</x:v>
      </x:c>
      <x:c r="D3" s="17" t="str">
        <x:v>制造业</x:v>
      </x:c>
      <x:c r="E3" s="17" t="str">
        <x:v>深圳</x:v>
      </x:c>
      <x:c r="F3" s="18" t="str">
        <x:v>15-25K</x:v>
      </x:c>
      <x:c r="G3" s="17" t="str">
        <x:v>3-5年</x:v>
      </x:c>
      <x:c r="H3" s="17" t="str">
        <x:v>本科</x:v>
      </x:c>
      <x:c r="I3" s="17" t="str">
        <x:v>指标库; 需求分析; BI项目</x:v>
      </x:c>
      <x:c r="J3" s="17" t="str">
        <x:v>公开JD摘要：协同业务及财务整理指标，支持数据资产与BI项目。</x:v>
      </x:c>
      <x:c r="K3" s="19" t="n">
        <x:v>0</x:v>
      </x:c>
      <x:c r="L3" s="17" t="str">
        <x:v>未见（公开摘要）</x:v>
      </x:c>
      <x:c r="M3" s="17" t="str">
        <x:v>BOSS直聘</x:v>
      </x:c>
      <x:c r="N3" s="20" t="n">
        <x:v>46293</x:v>
      </x:c>
      <x:c r="O3" s="22" t="str">
        <x:v>https://www.zhipin.com/zhaopin/36d5dc909836f52603Zz3dm4FA~~/</x:v>
      </x:c>
    </x:row>
    <x:row r="4" ht="62" customHeight="1">
      <x:c r="A4" s="11" t="str">
        <x:v>003</x:v>
      </x:c>
      <x:c r="B4" s="12" t="str">
        <x:v>数据分析师-策略（效果与创作方向）-抖音</x:v>
      </x:c>
      <x:c r="C4" s="12" t="str">
        <x:v>字节跳动</x:v>
      </x:c>
      <x:c r="D4" s="12" t="str">
        <x:v>互联网/科技</x:v>
      </x:c>
      <x:c r="E4" s="12" t="str">
        <x:v>深圳</x:v>
      </x:c>
      <x:c r="F4" s="13" t="str">
        <x:v>30-50K·15薪</x:v>
      </x:c>
      <x:c r="G4" s="12" t="str">
        <x:v>3-5年</x:v>
      </x:c>
      <x:c r="H4" s="12" t="str">
        <x:v>本科</x:v>
      </x:c>
      <x:c r="I4" s="12" t="str">
        <x:v>数据分析; 增长分析; AIGC</x:v>
      </x:c>
      <x:c r="J4" s="12" t="str">
        <x:v>公开JD摘要：分析抖音创作业务，通过AIGC应用寻找增长机会。</x:v>
      </x:c>
      <x:c r="K4" s="14" t="n">
        <x:v>1</x:v>
      </x:c>
      <x:c r="L4" s="12" t="str">
        <x:v>AIGC</x:v>
      </x:c>
      <x:c r="M4" s="12" t="str">
        <x:v>BOSS直聘</x:v>
      </x:c>
      <x:c r="N4" s="15" t="n">
        <x:v>46293</x:v>
      </x:c>
      <x:c r="O4" s="21" t="str">
        <x:v>https://www.zhipin.com/zhaopin/36d5dc909836f52603Zz3dm4FA~~/</x:v>
      </x:c>
    </x:row>
    <x:row r="5" ht="62" customHeight="1">
      <x:c r="A5" s="16" t="str">
        <x:v>004</x:v>
      </x:c>
      <x:c r="B5" s="17" t="str">
        <x:v>阿里控股-数据分析师-杭州</x:v>
      </x:c>
      <x:c r="C5" s="17" t="str">
        <x:v>阿里巴巴集团</x:v>
      </x:c>
      <x:c r="D5" s="17" t="str">
        <x:v>互联网/科技</x:v>
      </x:c>
      <x:c r="E5" s="17" t="str">
        <x:v>杭州</x:v>
      </x:c>
      <x:c r="F5" s="18" t="str">
        <x:v>20-40K·16薪</x:v>
      </x:c>
      <x:c r="G5" s="17" t="str">
        <x:v>1-3年</x:v>
      </x:c>
      <x:c r="H5" s="17" t="str">
        <x:v>本科</x:v>
      </x:c>
      <x:c r="I5" s="17" t="str">
        <x:v>管理月报; AI; 数据分析</x:v>
      </x:c>
      <x:c r="J5" s="17" t="str">
        <x:v>公开JD摘要：制作管理月报，借助AI提高输出效率并完成日常分析。</x:v>
      </x:c>
      <x:c r="K5" s="19" t="n">
        <x:v>1</x:v>
      </x:c>
      <x:c r="L5" s="17" t="str">
        <x:v>AI</x:v>
      </x:c>
      <x:c r="M5" s="17" t="str">
        <x:v>BOSS直聘</x:v>
      </x:c>
      <x:c r="N5" s="20" t="n">
        <x:v>46293</x:v>
      </x:c>
      <x:c r="O5" s="22" t="str">
        <x:v>https://www.zhipin.com/zhaopin/41502b7a06e6608a0XN_0tm9/</x:v>
      </x:c>
    </x:row>
    <x:row r="6" ht="62" customHeight="1">
      <x:c r="A6" s="11" t="str">
        <x:v>005</x:v>
      </x:c>
      <x:c r="B6" s="12" t="str">
        <x:v>数据分析师</x:v>
      </x:c>
      <x:c r="C6" s="12" t="str">
        <x:v>阿里巴巴集团</x:v>
      </x:c>
      <x:c r="D6" s="12" t="str">
        <x:v>互联网/科技</x:v>
      </x:c>
      <x:c r="E6" s="12" t="str">
        <x:v>杭州</x:v>
      </x:c>
      <x:c r="F6" s="13" t="str">
        <x:v>35-50K·16薪</x:v>
      </x:c>
      <x:c r="G6" s="12" t="str">
        <x:v>3-5年</x:v>
      </x:c>
      <x:c r="H6" s="12" t="str">
        <x:v>本科</x:v>
      </x:c>
      <x:c r="I6" s="12" t="str">
        <x:v>用户分层; 趋势分析; 运营策略</x:v>
      </x:c>
      <x:c r="J6" s="12" t="str">
        <x:v>公开JD摘要：研究高价值用户差异，为运营及产品策略提供依据。</x:v>
      </x:c>
      <x:c r="K6" s="14" t="n">
        <x:v>0</x:v>
      </x:c>
      <x:c r="L6" s="12" t="str">
        <x:v>未见（公开摘要）</x:v>
      </x:c>
      <x:c r="M6" s="12" t="str">
        <x:v>BOSS直聘</x:v>
      </x:c>
      <x:c r="N6" s="15" t="n">
        <x:v>46293</x:v>
      </x:c>
      <x:c r="O6" s="21" t="str">
        <x:v>https://www.zhipin.com/zhaopin/41502b7a06e6608a0XN_0tm9/</x:v>
      </x:c>
    </x:row>
    <x:row r="7" ht="62" customHeight="1">
      <x:c r="A7" s="16" t="str">
        <x:v>006</x:v>
      </x:c>
      <x:c r="B7" s="17" t="str">
        <x:v>高级数据分析师-ai产品-阿里淘天</x:v>
      </x:c>
      <x:c r="C7" s="17" t="str">
        <x:v>阿里巴巴集团</x:v>
      </x:c>
      <x:c r="D7" s="17" t="str">
        <x:v>互联网/科技</x:v>
      </x:c>
      <x:c r="E7" s="17" t="str">
        <x:v>杭州</x:v>
      </x:c>
      <x:c r="F7" s="18" t="str">
        <x:v>25-50K·16薪</x:v>
      </x:c>
      <x:c r="G7" s="17" t="str">
        <x:v>经验不限</x:v>
      </x:c>
      <x:c r="H7" s="17" t="str">
        <x:v>本科</x:v>
      </x:c>
      <x:c r="I7" s="17" t="str">
        <x:v>AI产品分析; 指标设计; 数据产品</x:v>
      </x:c>
      <x:c r="J7" s="17" t="str">
        <x:v>公开JD摘要：分析电商AI产品，建立业务指标并提供策略支持。</x:v>
      </x:c>
      <x:c r="K7" s="19" t="n">
        <x:v>1</x:v>
      </x:c>
      <x:c r="L7" s="17" t="str">
        <x:v>AI</x:v>
      </x:c>
      <x:c r="M7" s="17" t="str">
        <x:v>BOSS直聘</x:v>
      </x:c>
      <x:c r="N7" s="20" t="n">
        <x:v>46293</x:v>
      </x:c>
      <x:c r="O7" s="22" t="str">
        <x:v>https://www.zhipin.com/zhaopin/41502b7a06e6608a0XN_0tm9/</x:v>
      </x:c>
    </x:row>
    <x:row r="8" ht="62" customHeight="1">
      <x:c r="A8" s="11" t="str">
        <x:v>007</x:v>
      </x:c>
      <x:c r="B8" s="12" t="str">
        <x:v>数据分析专家</x:v>
      </x:c>
      <x:c r="C8" s="12" t="str">
        <x:v>谷雨护肤品</x:v>
      </x:c>
      <x:c r="D8" s="12" t="str">
        <x:v>电子商务</x:v>
      </x:c>
      <x:c r="E8" s="12" t="str">
        <x:v>广州</x:v>
      </x:c>
      <x:c r="F8" s="13" t="str">
        <x:v>18-30K·14薪</x:v>
      </x:c>
      <x:c r="G8" s="12" t="str">
        <x:v>3-5年</x:v>
      </x:c>
      <x:c r="H8" s="12" t="str">
        <x:v>本科</x:v>
      </x:c>
      <x:c r="I8" s="12" t="str">
        <x:v>SQL; Python; R; 数据清洗</x:v>
      </x:c>
      <x:c r="J8" s="12" t="str">
        <x:v>公开JD摘要：用SQL、Python及R处理多来源数据并检查质量。</x:v>
      </x:c>
      <x:c r="K8" s="14" t="n">
        <x:v>0</x:v>
      </x:c>
      <x:c r="L8" s="12" t="str">
        <x:v>未见（公开摘要）</x:v>
      </x:c>
      <x:c r="M8" s="12" t="str">
        <x:v>BOSS直聘</x:v>
      </x:c>
      <x:c r="N8" s="15" t="n">
        <x:v>46293</x:v>
      </x:c>
      <x:c r="O8" s="21" t="str">
        <x:v>https://www.zhipin.com/zhaopin/b6c156811c1c03381XZ43Nu5Fg~~/</x:v>
      </x:c>
    </x:row>
    <x:row r="9" ht="62" customHeight="1">
      <x:c r="A9" s="16" t="str">
        <x:v>008</x:v>
      </x:c>
      <x:c r="B9" s="17" t="str">
        <x:v>数据分析专员</x:v>
      </x:c>
      <x:c r="C9" s="17" t="str">
        <x:v>友邦货运有限公司</x:v>
      </x:c>
      <x:c r="D9" s="17" t="str">
        <x:v>物流</x:v>
      </x:c>
      <x:c r="E9" s="17" t="str">
        <x:v>广州</x:v>
      </x:c>
      <x:c r="F9" s="18" t="str">
        <x:v>5-6K</x:v>
      </x:c>
      <x:c r="G9" s="17" t="str">
        <x:v>1-3年</x:v>
      </x:c>
      <x:c r="H9" s="17" t="str">
        <x:v>中专/中技</x:v>
      </x:c>
      <x:c r="I9" s="17" t="str">
        <x:v>Excel; 数据透视表; VLOOKUP</x:v>
      </x:c>
      <x:c r="J9" s="17" t="str">
        <x:v>公开JD摘要：采集快递指标数据，使用Excel制作考核报表。</x:v>
      </x:c>
      <x:c r="K9" s="19" t="n">
        <x:v>0</x:v>
      </x:c>
      <x:c r="L9" s="17" t="str">
        <x:v>未见（公开摘要）</x:v>
      </x:c>
      <x:c r="M9" s="17" t="str">
        <x:v>BOSS直聘</x:v>
      </x:c>
      <x:c r="N9" s="20" t="n">
        <x:v>46293</x:v>
      </x:c>
      <x:c r="O9" s="22" t="str">
        <x:v>https://www.zhipin.com/zhaopin/b6c156811c1c03381XZ43Nu5Fg~~/</x:v>
      </x:c>
    </x:row>
    <x:row r="10" ht="62" customHeight="1">
      <x:c r="A10" s="11" t="str">
        <x:v>009</x:v>
      </x:c>
      <x:c r="B10" s="12" t="str">
        <x:v>数据分析师</x:v>
      </x:c>
      <x:c r="C10" s="12" t="str">
        <x:v>文石信息</x:v>
      </x:c>
      <x:c r="D10" s="12" t="str">
        <x:v>制造业</x:v>
      </x:c>
      <x:c r="E10" s="12" t="str">
        <x:v>广州</x:v>
      </x:c>
      <x:c r="F10" s="13" t="str">
        <x:v>15-25K</x:v>
      </x:c>
      <x:c r="G10" s="12" t="str">
        <x:v>3-5年</x:v>
      </x:c>
      <x:c r="H10" s="12" t="str">
        <x:v>本科</x:v>
      </x:c>
      <x:c r="I10" s="12" t="str">
        <x:v>Python; 数据看板; 数据校验</x:v>
      </x:c>
      <x:c r="J10" s="12" t="str">
        <x:v>公开JD摘要：响应取数需求，维护报表和看板并用Python处理重复操作。</x:v>
      </x:c>
      <x:c r="K10" s="14" t="n">
        <x:v>0</x:v>
      </x:c>
      <x:c r="L10" s="12" t="str">
        <x:v>未见（公开摘要）</x:v>
      </x:c>
      <x:c r="M10" s="12" t="str">
        <x:v>BOSS直聘</x:v>
      </x:c>
      <x:c r="N10" s="15" t="n">
        <x:v>46293</x:v>
      </x:c>
      <x:c r="O10" s="21" t="str">
        <x:v>https://www.zhipin.com/zhaopin/b6c156811c1c03381XZ43Nu5Fg~~/</x:v>
      </x:c>
    </x:row>
    <x:row r="11" ht="62" customHeight="1">
      <x:c r="A11" s="16" t="str">
        <x:v>010</x:v>
      </x:c>
      <x:c r="B11" s="17" t="str">
        <x:v>数据分析师</x:v>
      </x:c>
      <x:c r="C11" s="17" t="str">
        <x:v>好太太集团</x:v>
      </x:c>
      <x:c r="D11" s="17" t="str">
        <x:v>制造业</x:v>
      </x:c>
      <x:c r="E11" s="17" t="str">
        <x:v>广州</x:v>
      </x:c>
      <x:c r="F11" s="18" t="str">
        <x:v>8-13K·13薪</x:v>
      </x:c>
      <x:c r="G11" s="17" t="str">
        <x:v>1-3年</x:v>
      </x:c>
      <x:c r="H11" s="17" t="str">
        <x:v>本科</x:v>
      </x:c>
      <x:c r="I11" s="17" t="str">
        <x:v>电商分析; 指标监控; 报告撰写</x:v>
      </x:c>
      <x:c r="J11" s="17" t="str">
        <x:v>公开JD摘要：整理电商数据供运营决策，跟踪指标并报告异常。</x:v>
      </x:c>
      <x:c r="K11" s="19" t="n">
        <x:v>0</x:v>
      </x:c>
      <x:c r="L11" s="17" t="str">
        <x:v>未见（公开摘要）</x:v>
      </x:c>
      <x:c r="M11" s="17" t="str">
        <x:v>BOSS直聘</x:v>
      </x:c>
      <x:c r="N11" s="20" t="n">
        <x:v>46293</x:v>
      </x:c>
      <x:c r="O11" s="22" t="str">
        <x:v>https://www.zhipin.com/zhaopin/b6c156811c1c03381XZ43Nu5Fg~~/</x:v>
      </x:c>
    </x:row>
    <x:row r="12" ht="62" customHeight="1">
      <x:c r="A12" s="11" t="str">
        <x:v>011</x:v>
      </x:c>
      <x:c r="B12" s="12" t="str">
        <x:v>数据分析师</x:v>
      </x:c>
      <x:c r="C12" s="12" t="str">
        <x:v>第二曲线数字科技</x:v>
      </x:c>
      <x:c r="D12" s="12" t="str">
        <x:v>互联网/科技</x:v>
      </x:c>
      <x:c r="E12" s="12" t="str">
        <x:v>上海</x:v>
      </x:c>
      <x:c r="F12" s="13" t="str">
        <x:v>17-26K</x:v>
      </x:c>
      <x:c r="G12" s="12" t="str">
        <x:v>3-5年</x:v>
      </x:c>
      <x:c r="H12" s="12" t="str">
        <x:v>硕士</x:v>
      </x:c>
      <x:c r="I12" s="12" t="str">
        <x:v>埋点设计; A/B测试; 数据评估</x:v>
      </x:c>
      <x:c r="J12" s="12" t="str">
        <x:v>公开JD摘要：制定埋点与分析规范，通过A/B测试评估产品。</x:v>
      </x:c>
      <x:c r="K12" s="14" t="n">
        <x:v>0</x:v>
      </x:c>
      <x:c r="L12" s="12" t="str">
        <x:v>未见（公开摘要）</x:v>
      </x:c>
      <x:c r="M12" s="12" t="str">
        <x:v>BOSS直聘</x:v>
      </x:c>
      <x:c r="N12" s="15" t="n">
        <x:v>46293</x:v>
      </x:c>
      <x:c r="O12" s="21" t="str">
        <x:v>https://www.zhipin.com/zhaopin/827ad0a6edb738e103Zz3tu9EQ~~/</x:v>
      </x:c>
    </x:row>
    <x:row r="13" ht="62" customHeight="1">
      <x:c r="A13" s="16" t="str">
        <x:v>012</x:v>
      </x:c>
      <x:c r="B13" s="17" t="str">
        <x:v>数据分析师</x:v>
      </x:c>
      <x:c r="C13" s="17" t="str">
        <x:v>偏爱服饰有限公司</x:v>
      </x:c>
      <x:c r="D13" s="17" t="str">
        <x:v>消费品</x:v>
      </x:c>
      <x:c r="E13" s="17" t="str">
        <x:v>广州</x:v>
      </x:c>
      <x:c r="F13" s="18" t="str">
        <x:v>10-15K</x:v>
      </x:c>
      <x:c r="G13" s="17" t="str">
        <x:v>1-3年</x:v>
      </x:c>
      <x:c r="H13" s="17" t="str">
        <x:v>本科</x:v>
      </x:c>
      <x:c r="I13" s="17" t="str">
        <x:v>货品规划; 销售分析; 运营统计</x:v>
      </x:c>
      <x:c r="J13" s="17" t="str">
        <x:v>公开JD摘要：统计货品开发与返单情况，分析店铺销售和运营表现。</x:v>
      </x:c>
      <x:c r="K13" s="19" t="n">
        <x:v>0</x:v>
      </x:c>
      <x:c r="L13" s="17" t="str">
        <x:v>未见（公开摘要）</x:v>
      </x:c>
      <x:c r="M13" s="17" t="str">
        <x:v>BOSS直聘</x:v>
      </x:c>
      <x:c r="N13" s="20" t="n">
        <x:v>46293</x:v>
      </x:c>
      <x:c r="O13" s="22" t="str">
        <x:v>https://www.zhipin.com/zhaopin/827ad0a6edb738e103Zz3tu9EQ~~/</x:v>
      </x:c>
    </x:row>
    <x:row r="14" ht="62" customHeight="1">
      <x:c r="A14" s="11" t="str">
        <x:v>013</x:v>
      </x:c>
      <x:c r="B14" s="12" t="str">
        <x:v>数据分析师</x:v>
      </x:c>
      <x:c r="C14" s="12" t="str">
        <x:v>维京悠旅</x:v>
      </x:c>
      <x:c r="D14" s="12" t="str">
        <x:v>电子商务</x:v>
      </x:c>
      <x:c r="E14" s="12" t="str">
        <x:v>上海</x:v>
      </x:c>
      <x:c r="F14" s="13" t="str">
        <x:v>9-14K</x:v>
      </x:c>
      <x:c r="G14" s="12" t="str">
        <x:v>1-3年</x:v>
      </x:c>
      <x:c r="H14" s="12" t="str">
        <x:v>本科</x:v>
      </x:c>
      <x:c r="I14" s="12" t="str">
        <x:v>报表体系; 销售监控; 数据管理</x:v>
      </x:c>
      <x:c r="J14" s="12" t="str">
        <x:v>公开JD摘要：建立呼叫中心报表与监控机制，跟进销售目标进度。</x:v>
      </x:c>
      <x:c r="K14" s="14" t="n">
        <x:v>0</x:v>
      </x:c>
      <x:c r="L14" s="12" t="str">
        <x:v>未见（公开摘要）</x:v>
      </x:c>
      <x:c r="M14" s="12" t="str">
        <x:v>BOSS直聘</x:v>
      </x:c>
      <x:c r="N14" s="15" t="n">
        <x:v>46293</x:v>
      </x:c>
      <x:c r="O14" s="21" t="str">
        <x:v>https://www.zhipin.com/zhaopin/827ad0a6edb738e103Zz3tu9EQ~~/</x:v>
      </x:c>
    </x:row>
    <x:row r="15" ht="62" customHeight="1">
      <x:c r="A15" s="16" t="str">
        <x:v>014</x:v>
      </x:c>
      <x:c r="B15" s="17" t="str">
        <x:v>数据分析师</x:v>
      </x:c>
      <x:c r="C15" s="17" t="str">
        <x:v>滴滴</x:v>
      </x:c>
      <x:c r="D15" s="17" t="str">
        <x:v>互联网/科技</x:v>
      </x:c>
      <x:c r="E15" s="17" t="str">
        <x:v>北京</x:v>
      </x:c>
      <x:c r="F15" s="18" t="str">
        <x:v>15-25K·15薪</x:v>
      </x:c>
      <x:c r="G15" s="17" t="str">
        <x:v>1-3年</x:v>
      </x:c>
      <x:c r="H15" s="17" t="str">
        <x:v>本科</x:v>
      </x:c>
      <x:c r="I15" s="17" t="str">
        <x:v>用户行为分析; 情感分析; 意图识别</x:v>
      </x:c>
      <x:c r="J15" s="17" t="str">
        <x:v>公开JD摘要：诊断服务瓶颈，探索情感分析和意图识别等技术应用。</x:v>
      </x:c>
      <x:c r="K15" s="19" t="n">
        <x:v>1</x:v>
      </x:c>
      <x:c r="L15" s="17" t="str">
        <x:v>情感分析; 意图识别</x:v>
      </x:c>
      <x:c r="M15" s="17" t="str">
        <x:v>BOSS直聘</x:v>
      </x:c>
      <x:c r="N15" s="20" t="n">
        <x:v>46293</x:v>
      </x:c>
      <x:c r="O15" s="22" t="str">
        <x:v>https://www.zhipin.com/zhaopin/827ad0a6edb738e103Zz3tu9EQ~~/</x:v>
      </x:c>
    </x:row>
    <x:row r="16" ht="62" customHeight="1">
      <x:c r="A16" s="11" t="str">
        <x:v>015</x:v>
      </x:c>
      <x:c r="B16" s="12" t="str">
        <x:v>高级大数据分析师</x:v>
      </x:c>
      <x:c r="C16" s="12" t="str">
        <x:v>上海云致数码科技</x:v>
      </x:c>
      <x:c r="D16" s="12" t="str">
        <x:v>互联网/科技</x:v>
      </x:c>
      <x:c r="E16" s="12" t="str">
        <x:v>上海</x:v>
      </x:c>
      <x:c r="F16" s="13" t="str">
        <x:v>11-12K</x:v>
      </x:c>
      <x:c r="G16" s="12" t="str">
        <x:v>3-5年</x:v>
      </x:c>
      <x:c r="H16" s="12" t="str">
        <x:v>本科</x:v>
      </x:c>
      <x:c r="I16" s="12" t="str">
        <x:v>数据采集; 数据清洗; 数据建模</x:v>
      </x:c>
      <x:c r="J16" s="12" t="str">
        <x:v>公开JD摘要：构建企业分析模型，处理大规模数据以支持业务决策。</x:v>
      </x:c>
      <x:c r="K16" s="14" t="n">
        <x:v>0</x:v>
      </x:c>
      <x:c r="L16" s="12" t="str">
        <x:v>未见（公开摘要）</x:v>
      </x:c>
      <x:c r="M16" s="12" t="str">
        <x:v>BOSS直聘</x:v>
      </x:c>
      <x:c r="N16" s="15" t="n">
        <x:v>46293</x:v>
      </x:c>
      <x:c r="O16" s="21" t="str">
        <x:v>https://www.zhipin.com/zhaopin/8b8386632c6a4f10031609-0EQ~~/</x:v>
      </x:c>
    </x:row>
    <x:row r="17" ht="62" customHeight="1">
      <x:c r="A17" s="16" t="str">
        <x:v>016</x:v>
      </x:c>
      <x:c r="B17" s="17" t="str">
        <x:v>大数据分析工程师</x:v>
      </x:c>
      <x:c r="C17" s="17" t="str">
        <x:v>现代科魔</x:v>
      </x:c>
      <x:c r="D17" s="17" t="str">
        <x:v>互联网/科技</x:v>
      </x:c>
      <x:c r="E17" s="17" t="str">
        <x:v>上海</x:v>
      </x:c>
      <x:c r="F17" s="18" t="str">
        <x:v>20-30K·14薪</x:v>
      </x:c>
      <x:c r="G17" s="17" t="str">
        <x:v>5-10年</x:v>
      </x:c>
      <x:c r="H17" s="17" t="str">
        <x:v>本科</x:v>
      </x:c>
      <x:c r="I17" s="17" t="str">
        <x:v>车联网分析; 数据挖掘; KPI监控</x:v>
      </x:c>
      <x:c r="J17" s="17" t="str">
        <x:v>公开JD摘要：分析车联网应用及车辆数据，完善服务指标体系。</x:v>
      </x:c>
      <x:c r="K17" s="19" t="n">
        <x:v>0</x:v>
      </x:c>
      <x:c r="L17" s="17" t="str">
        <x:v>未见（公开摘要）</x:v>
      </x:c>
      <x:c r="M17" s="17" t="str">
        <x:v>BOSS直聘</x:v>
      </x:c>
      <x:c r="N17" s="20" t="n">
        <x:v>46293</x:v>
      </x:c>
      <x:c r="O17" s="22" t="str">
        <x:v>https://www.zhipin.com/zhaopin/8b8386632c6a4f10031609-0EQ~~/</x:v>
      </x:c>
    </x:row>
    <x:row r="18" ht="62" customHeight="1">
      <x:c r="A18" s="11" t="str">
        <x:v>017</x:v>
      </x:c>
      <x:c r="B18" s="12" t="str">
        <x:v>小米汽车-动力系统大数据分析工程师</x:v>
      </x:c>
      <x:c r="C18" s="12" t="str">
        <x:v>小米</x:v>
      </x:c>
      <x:c r="D18" s="12" t="str">
        <x:v>新能源</x:v>
      </x:c>
      <x:c r="E18" s="12" t="str">
        <x:v>上海</x:v>
      </x:c>
      <x:c r="F18" s="13" t="str">
        <x:v>20-40K·15薪</x:v>
      </x:c>
      <x:c r="G18" s="12" t="str">
        <x:v>5-10年</x:v>
      </x:c>
      <x:c r="H18" s="12" t="str">
        <x:v>本科</x:v>
      </x:c>
      <x:c r="I18" s="12" t="str">
        <x:v>动力数据分析; BI; 数据应用</x:v>
      </x:c>
      <x:c r="J18" s="12" t="str">
        <x:v>公开JD摘要：分析电动汽车行驶、充电及电池数据，并进行BI展示。</x:v>
      </x:c>
      <x:c r="K18" s="14" t="n">
        <x:v>0</x:v>
      </x:c>
      <x:c r="L18" s="12" t="str">
        <x:v>未见（公开摘要）</x:v>
      </x:c>
      <x:c r="M18" s="12" t="str">
        <x:v>BOSS直聘</x:v>
      </x:c>
      <x:c r="N18" s="15" t="n">
        <x:v>46293</x:v>
      </x:c>
      <x:c r="O18" s="21" t="str">
        <x:v>https://www.zhipin.com/zhaopin/8b8386632c6a4f10031609-0EQ~~/</x:v>
      </x:c>
    </x:row>
    <x:row r="19" ht="62" customHeight="1">
      <x:c r="A19" s="16" t="str">
        <x:v>018</x:v>
      </x:c>
      <x:c r="B19" s="17" t="str">
        <x:v>大数据策略分析师（上海）</x:v>
      </x:c>
      <x:c r="C19" s="17" t="str">
        <x:v>宁银消金</x:v>
      </x:c>
      <x:c r="D19" s="17" t="str">
        <x:v>金融科技</x:v>
      </x:c>
      <x:c r="E19" s="17" t="str">
        <x:v>上海</x:v>
      </x:c>
      <x:c r="F19" s="18" t="str">
        <x:v>25-50K·15薪</x:v>
      </x:c>
      <x:c r="G19" s="17" t="str">
        <x:v>3-5年</x:v>
      </x:c>
      <x:c r="H19" s="17" t="str">
        <x:v>硕士</x:v>
      </x:c>
      <x:c r="I19" s="17" t="str">
        <x:v>风控模型; 授信策略; 风险监控</x:v>
      </x:c>
      <x:c r="J19" s="17" t="str">
        <x:v>公开JD摘要：利用模型制定信贷准入与额度策略，监控资产风险。</x:v>
      </x:c>
      <x:c r="K19" s="19" t="n">
        <x:v>0</x:v>
      </x:c>
      <x:c r="L19" s="17" t="str">
        <x:v>未见（公开摘要）</x:v>
      </x:c>
      <x:c r="M19" s="17" t="str">
        <x:v>BOSS直聘</x:v>
      </x:c>
      <x:c r="N19" s="20" t="n">
        <x:v>46293</x:v>
      </x:c>
      <x:c r="O19" s="22" t="str">
        <x:v>https://www.zhipin.com/zhaopin/8b8386632c6a4f10031609-0EQ~~/</x:v>
      </x:c>
    </x:row>
    <x:row r="20" ht="62" customHeight="1">
      <x:c r="A20" s="11" t="str">
        <x:v>019</x:v>
      </x:c>
      <x:c r="B20" s="12" t="str">
        <x:v>腾讯音乐内容业务数据分析组长</x:v>
      </x:c>
      <x:c r="C20" s="12" t="str">
        <x:v>腾讯音乐</x:v>
      </x:c>
      <x:c r="D20" s="12" t="str">
        <x:v>互联网/科技</x:v>
      </x:c>
      <x:c r="E20" s="12" t="str">
        <x:v>深圳</x:v>
      </x:c>
      <x:c r="F20" s="13" t="str">
        <x:v>50-75K·15薪</x:v>
      </x:c>
      <x:c r="G20" s="12" t="str">
        <x:v>5-10年</x:v>
      </x:c>
      <x:c r="H20" s="12" t="str">
        <x:v>本科</x:v>
      </x:c>
      <x:c r="I20" s="12" t="str">
        <x:v>数据挖掘; 团队管理; 内容分析</x:v>
      </x:c>
      <x:c r="J20" s="12" t="str">
        <x:v>公开JD摘要：带领团队分析内容生态，挖掘业务问题并提出改进策略。</x:v>
      </x:c>
      <x:c r="K20" s="14" t="n">
        <x:v>0</x:v>
      </x:c>
      <x:c r="L20" s="12" t="str">
        <x:v>未见（公开摘要）</x:v>
      </x:c>
      <x:c r="M20" s="12" t="str">
        <x:v>BOSS直聘</x:v>
      </x:c>
      <x:c r="N20" s="15" t="n">
        <x:v>46293</x:v>
      </x:c>
      <x:c r="O20" s="21" t="str">
        <x:v>https://www.zhipin.com/zhaopin/9d4b4b2a143858aa03Z72Nq5GQ~~/</x:v>
      </x:c>
    </x:row>
    <x:row r="21" ht="62" customHeight="1">
      <x:c r="A21" s="16" t="str">
        <x:v>020</x:v>
      </x:c>
      <x:c r="B21" s="17" t="str">
        <x:v>数据分析（投放业务）</x:v>
      </x:c>
      <x:c r="C21" s="17" t="str">
        <x:v>深圳禅游科技</x:v>
      </x:c>
      <x:c r="D21" s="17" t="str">
        <x:v>互联网/科技</x:v>
      </x:c>
      <x:c r="E21" s="17" t="str">
        <x:v>深圳</x:v>
      </x:c>
      <x:c r="F21" s="18" t="str">
        <x:v>20-40K·13薪</x:v>
      </x:c>
      <x:c r="G21" s="17" t="str">
        <x:v>3-5年</x:v>
      </x:c>
      <x:c r="H21" s="17" t="str">
        <x:v>本科</x:v>
      </x:c>
      <x:c r="I21" s="17" t="str">
        <x:v>留存分析; ROI; LTV; 异常预警</x:v>
      </x:c>
      <x:c r="J21" s="17" t="str">
        <x:v>公开JD摘要：跟踪游戏运营及发行指标，分析用户行为和价值。</x:v>
      </x:c>
      <x:c r="K21" s="19" t="n">
        <x:v>0</x:v>
      </x:c>
      <x:c r="L21" s="17" t="str">
        <x:v>未见（公开摘要）</x:v>
      </x:c>
      <x:c r="M21" s="17" t="str">
        <x:v>BOSS直聘</x:v>
      </x:c>
      <x:c r="N21" s="20" t="n">
        <x:v>46293</x:v>
      </x:c>
      <x:c r="O21" s="22" t="str">
        <x:v>https://www.zhipin.com/zhaopin/9d4b4b2a143858aa03Z72Nq5GQ~~/</x:v>
      </x:c>
    </x:row>
    <x:row r="22" ht="62" customHeight="1">
      <x:c r="A22" s="11" t="str">
        <x:v>021</x:v>
      </x:c>
      <x:c r="B22" s="12" t="str">
        <x:v>数据分析师（业务数据）</x:v>
      </x:c>
      <x:c r="C22" s="12" t="str">
        <x:v>创想三维</x:v>
      </x:c>
      <x:c r="D22" s="12" t="str">
        <x:v>制造业</x:v>
      </x:c>
      <x:c r="E22" s="12" t="str">
        <x:v>深圳</x:v>
      </x:c>
      <x:c r="F22" s="13" t="str">
        <x:v>15-25K·13薪</x:v>
      </x:c>
      <x:c r="G22" s="12" t="str">
        <x:v>3-5年</x:v>
      </x:c>
      <x:c r="H22" s="12" t="str">
        <x:v>本科</x:v>
      </x:c>
      <x:c r="I22" s="12" t="str">
        <x:v>BI; 留存分析; 转化分析; 指标体系</x:v>
      </x:c>
      <x:c r="J22" s="12" t="str">
        <x:v>公开JD摘要：维护业务指标和BI看板，持续监测用户与收入表现。</x:v>
      </x:c>
      <x:c r="K22" s="14" t="n">
        <x:v>0</x:v>
      </x:c>
      <x:c r="L22" s="12" t="str">
        <x:v>未见（公开摘要）</x:v>
      </x:c>
      <x:c r="M22" s="12" t="str">
        <x:v>BOSS直聘</x:v>
      </x:c>
      <x:c r="N22" s="15" t="n">
        <x:v>46293</x:v>
      </x:c>
      <x:c r="O22" s="21" t="str">
        <x:v>https://www.zhipin.com/zhaopin/9d4b4b2a143858aa03Z72Nq5GQ~~/</x:v>
      </x:c>
    </x:row>
    <x:row r="23" ht="62" customHeight="1">
      <x:c r="A23" s="16" t="str">
        <x:v>022</x:v>
      </x:c>
      <x:c r="B23" s="17" t="str">
        <x:v>业务数据分析师（行业top/福利待遇好）</x:v>
      </x:c>
      <x:c r="C23" s="17" t="str">
        <x:v>纵腾集团</x:v>
      </x:c>
      <x:c r="D23" s="17" t="str">
        <x:v>物流</x:v>
      </x:c>
      <x:c r="E23" s="17" t="str">
        <x:v>深圳</x:v>
      </x:c>
      <x:c r="F23" s="18" t="str">
        <x:v>12-16K·14薪</x:v>
      </x:c>
      <x:c r="G23" s="17" t="str">
        <x:v>3-5年</x:v>
      </x:c>
      <x:c r="H23" s="17" t="str">
        <x:v>本科</x:v>
      </x:c>
      <x:c r="I23" s="17" t="str">
        <x:v>绩效分析; 成本分析; 自动化核算</x:v>
      </x:c>
      <x:c r="J23" s="17" t="str">
        <x:v>公开JD摘要：设计物流揽收绩效指标，分析成本及时效并定位低效环节。</x:v>
      </x:c>
      <x:c r="K23" s="19" t="n">
        <x:v>0</x:v>
      </x:c>
      <x:c r="L23" s="17" t="str">
        <x:v>未见（公开摘要）</x:v>
      </x:c>
      <x:c r="M23" s="17" t="str">
        <x:v>BOSS直聘</x:v>
      </x:c>
      <x:c r="N23" s="20" t="n">
        <x:v>46293</x:v>
      </x:c>
      <x:c r="O23" s="22" t="str">
        <x:v>https://www.zhipin.com/zhaopin/9d4b4b2a143858aa03Z72Nq5GQ~~/</x:v>
      </x:c>
    </x:row>
    <x:row r="24" ht="62" customHeight="1">
      <x:c r="A24" s="11" t="str">
        <x:v>023</x:v>
      </x:c>
      <x:c r="B24" s="12" t="str">
        <x:v>数据分析师（杭州）</x:v>
      </x:c>
      <x:c r="C24" s="12" t="str">
        <x:v>佰聆数据</x:v>
      </x:c>
      <x:c r="D24" s="12" t="str">
        <x:v>互联网/科技</x:v>
      </x:c>
      <x:c r="E24" s="12" t="str">
        <x:v>杭州</x:v>
      </x:c>
      <x:c r="F24" s="13" t="str">
        <x:v>12-18K</x:v>
      </x:c>
      <x:c r="G24" s="12" t="str">
        <x:v>3-5年</x:v>
      </x:c>
      <x:c r="H24" s="12" t="str">
        <x:v>本科</x:v>
      </x:c>
      <x:c r="I24" s="12" t="str">
        <x:v>Python; SQL; ETL; 统计分析</x:v>
      </x:c>
      <x:c r="J24" s="12" t="str">
        <x:v>公开JD摘要：使用Python与SQL处理数据流程，开展统计分析。</x:v>
      </x:c>
      <x:c r="K24" s="14" t="n">
        <x:v>0</x:v>
      </x:c>
      <x:c r="L24" s="12" t="str">
        <x:v>未见（公开摘要）</x:v>
      </x:c>
      <x:c r="M24" s="12" t="str">
        <x:v>BOSS直聘</x:v>
      </x:c>
      <x:c r="N24" s="15" t="n">
        <x:v>46293</x:v>
      </x:c>
      <x:c r="O24" s="21" t="str">
        <x:v>https://www.zhipin.com/zhaopin/ed8f520af9914e9f03N70ty-FQ~~/</x:v>
      </x:c>
    </x:row>
    <x:row r="25" ht="62" customHeight="1">
      <x:c r="A25" s="16" t="str">
        <x:v>024</x:v>
      </x:c>
      <x:c r="B25" s="17" t="str">
        <x:v>数据策略分析师(J10318)</x:v>
      </x:c>
      <x:c r="C25" s="17" t="str">
        <x:v>凯乐石</x:v>
      </x:c>
      <x:c r="D25" s="17" t="str">
        <x:v>消费品</x:v>
      </x:c>
      <x:c r="E25" s="17" t="str">
        <x:v>广州</x:v>
      </x:c>
      <x:c r="F25" s="18" t="str">
        <x:v>15-30K</x:v>
      </x:c>
      <x:c r="G25" s="17" t="str">
        <x:v>5-10年</x:v>
      </x:c>
      <x:c r="H25" s="17" t="str">
        <x:v>本科</x:v>
      </x:c>
      <x:c r="I25" s="17" t="str">
        <x:v>平台数据工具; 用户研究; 竞品分析</x:v>
      </x:c>
      <x:c r="J25" s="17" t="str">
        <x:v>公开JD摘要：结合电商平台数据开展品类及用户研究，提出货品建议。</x:v>
      </x:c>
      <x:c r="K25" s="19" t="n">
        <x:v>0</x:v>
      </x:c>
      <x:c r="L25" s="17" t="str">
        <x:v>未见（公开摘要）</x:v>
      </x:c>
      <x:c r="M25" s="17" t="str">
        <x:v>BOSS直聘</x:v>
      </x:c>
      <x:c r="N25" s="20" t="n">
        <x:v>46293</x:v>
      </x:c>
      <x:c r="O25" s="22" t="str">
        <x:v>https://www.zhipin.com/zhaopin/08711ec002e4168b1HJ43N67FA~~/</x:v>
      </x:c>
    </x:row>
    <x:row r="26" ht="62" customHeight="1">
      <x:c r="A26" s="11" t="str">
        <x:v>025</x:v>
      </x:c>
      <x:c r="B26" s="12" t="str">
        <x:v>数据分析师</x:v>
      </x:c>
      <x:c r="C26" s="12" t="str">
        <x:v>高帆破浪科技</x:v>
      </x:c>
      <x:c r="D26" s="12" t="str">
        <x:v>人工智能</x:v>
      </x:c>
      <x:c r="E26" s="12" t="str">
        <x:v>杭州</x:v>
      </x:c>
      <x:c r="F26" s="13" t="str">
        <x:v>15-30K</x:v>
      </x:c>
      <x:c r="G26" s="12" t="str">
        <x:v>1-3年</x:v>
      </x:c>
      <x:c r="H26" s="12" t="str">
        <x:v>本科</x:v>
      </x:c>
      <x:c r="I26" s="12" t="str">
        <x:v>分析模型; 数据探查; 结果沟通</x:v>
      </x:c>
      <x:c r="J26" s="12" t="str">
        <x:v>公开JD摘要：维护核心分析模型，探查业务数据并解释分析结果。</x:v>
      </x:c>
      <x:c r="K26" s="14" t="n">
        <x:v>0</x:v>
      </x:c>
      <x:c r="L26" s="12" t="str">
        <x:v>未见（公开摘要）</x:v>
      </x:c>
      <x:c r="M26" s="12" t="str">
        <x:v>BOSS直聘</x:v>
      </x:c>
      <x:c r="N26" s="15" t="n">
        <x:v>46293</x:v>
      </x:c>
      <x:c r="O26" s="21" t="str">
        <x:v>https://www.zhipin.com/zhaopin/b87f38b6459e41b403F-3d64GQ~~/</x:v>
      </x:c>
    </x:row>
    <x:row r="27" ht="62" customHeight="1">
      <x:c r="A27" s="16" t="str">
        <x:v>026</x:v>
      </x:c>
      <x:c r="B27" s="17" t="str">
        <x:v>数据分析师</x:v>
      </x:c>
      <x:c r="C27" s="17" t="str">
        <x:v>新略数智</x:v>
      </x:c>
      <x:c r="D27" s="17" t="str">
        <x:v>互联网/科技</x:v>
      </x:c>
      <x:c r="E27" s="17" t="str">
        <x:v>杭州</x:v>
      </x:c>
      <x:c r="F27" s="18" t="str">
        <x:v>11-14K</x:v>
      </x:c>
      <x:c r="G27" s="17" t="str">
        <x:v>1-3年</x:v>
      </x:c>
      <x:c r="H27" s="17" t="str">
        <x:v>本科</x:v>
      </x:c>
      <x:c r="I27" s="17" t="str">
        <x:v>天猫数据银行; 策略中心; 消费者运营</x:v>
      </x:c>
      <x:c r="J27" s="17" t="str">
        <x:v>公开JD摘要：要求具备天猫数据平台经验，理解品牌电商与消费者运营。</x:v>
      </x:c>
      <x:c r="K27" s="19" t="n">
        <x:v>0</x:v>
      </x:c>
      <x:c r="L27" s="17" t="str">
        <x:v>未见（公开摘要）</x:v>
      </x:c>
      <x:c r="M27" s="17" t="str">
        <x:v>BOSS直聘</x:v>
      </x:c>
      <x:c r="N27" s="20" t="n">
        <x:v>46293</x:v>
      </x:c>
      <x:c r="O27" s="22" t="str">
        <x:v>https://www.zhipin.com/zhaopin/b87f38b6459e41b403F-3d64GQ~~/</x:v>
      </x:c>
    </x:row>
    <x:row r="28" ht="62" customHeight="1">
      <x:c r="A28" s="11" t="str">
        <x:v>027</x:v>
      </x:c>
      <x:c r="B28" s="12" t="str">
        <x:v>数据分析师</x:v>
      </x:c>
      <x:c r="C28" s="12" t="str">
        <x:v>卓诗尼JOSINY</x:v>
      </x:c>
      <x:c r="D28" s="12" t="str">
        <x:v>消费品</x:v>
      </x:c>
      <x:c r="E28" s="12" t="str">
        <x:v>杭州</x:v>
      </x:c>
      <x:c r="F28" s="13" t="str">
        <x:v>10-15K</x:v>
      </x:c>
      <x:c r="G28" s="12" t="str">
        <x:v>3-5年</x:v>
      </x:c>
      <x:c r="H28" s="12" t="str">
        <x:v>大专</x:v>
      </x:c>
      <x:c r="I28" s="12" t="str">
        <x:v>ODPS; SQL; 数据清洗; 数据挖掘</x:v>
      </x:c>
      <x:c r="J28" s="12" t="str">
        <x:v>公开JD摘要：用ODPS和SQL处理数据，协助分析内外部数据资源。</x:v>
      </x:c>
      <x:c r="K28" s="14" t="n">
        <x:v>0</x:v>
      </x:c>
      <x:c r="L28" s="12" t="str">
        <x:v>未见（公开摘要）</x:v>
      </x:c>
      <x:c r="M28" s="12" t="str">
        <x:v>BOSS直聘</x:v>
      </x:c>
      <x:c r="N28" s="15" t="n">
        <x:v>46293</x:v>
      </x:c>
      <x:c r="O28" s="21" t="str">
        <x:v>https://www.zhipin.com/zhaopin/b87f38b6459e41b403F-3d64GQ~~/</x:v>
      </x:c>
    </x:row>
    <x:row r="29" ht="62" customHeight="1">
      <x:c r="A29" s="16" t="str">
        <x:v>028</x:v>
      </x:c>
      <x:c r="B29" s="17" t="str">
        <x:v>数据分析师</x:v>
      </x:c>
      <x:c r="C29" s="17" t="str">
        <x:v>零跑科技</x:v>
      </x:c>
      <x:c r="D29" s="17" t="str">
        <x:v>新能源</x:v>
      </x:c>
      <x:c r="E29" s="17" t="str">
        <x:v>杭州</x:v>
      </x:c>
      <x:c r="F29" s="18" t="str">
        <x:v>15-25K·14薪</x:v>
      </x:c>
      <x:c r="G29" s="17" t="str">
        <x:v>3-5年</x:v>
      </x:c>
      <x:c r="H29" s="17" t="str">
        <x:v>本科</x:v>
      </x:c>
      <x:c r="I29" s="17" t="str">
        <x:v>营销分析; 用户增长; 线索分析</x:v>
      </x:c>
      <x:c r="J29" s="17" t="str">
        <x:v>公开JD摘要：研究营销与服务数据，支持线索管理和用户增长场景。</x:v>
      </x:c>
      <x:c r="K29" s="19" t="n">
        <x:v>0</x:v>
      </x:c>
      <x:c r="L29" s="17" t="str">
        <x:v>未见（公开摘要）</x:v>
      </x:c>
      <x:c r="M29" s="17" t="str">
        <x:v>BOSS直聘</x:v>
      </x:c>
      <x:c r="N29" s="20" t="n">
        <x:v>46293</x:v>
      </x:c>
      <x:c r="O29" s="22" t="str">
        <x:v>https://www.zhipin.com/zhaopin/b87f38b6459e41b403F-3d64GQ~~/</x:v>
      </x:c>
    </x:row>
    <x:row r="30" ht="62" customHeight="1">
      <x:c r="A30" s="11" t="str">
        <x:v>029</x:v>
      </x:c>
      <x:c r="B30" s="12" t="str">
        <x:v>资深数据分析师-杭州/广州</x:v>
      </x:c>
      <x:c r="C30" s="12" t="str">
        <x:v>网易</x:v>
      </x:c>
      <x:c r="D30" s="12" t="str">
        <x:v>互联网/科技</x:v>
      </x:c>
      <x:c r="E30" s="12" t="str">
        <x:v>广州</x:v>
      </x:c>
      <x:c r="F30" s="13" t="str">
        <x:v>30-50K·16薪</x:v>
      </x:c>
      <x:c r="G30" s="12" t="str">
        <x:v>5-10年</x:v>
      </x:c>
      <x:c r="H30" s="12" t="str">
        <x:v>本科</x:v>
      </x:c>
      <x:c r="I30" s="12" t="str">
        <x:v>游戏分析; 用户行为; 投放分析</x:v>
      </x:c>
      <x:c r="J30" s="12" t="str">
        <x:v>公开JD摘要：分析游戏行为及市场投放数据，支持研发和发行。</x:v>
      </x:c>
      <x:c r="K30" s="14" t="n">
        <x:v>0</x:v>
      </x:c>
      <x:c r="L30" s="12" t="str">
        <x:v>未见（公开摘要）</x:v>
      </x:c>
      <x:c r="M30" s="12" t="str">
        <x:v>BOSS直聘</x:v>
      </x:c>
      <x:c r="N30" s="15" t="n">
        <x:v>46293</x:v>
      </x:c>
      <x:c r="O30" s="21" t="str">
        <x:v>https://www.zhipin.com/zhaopin/bb431782f1c84e1803R42tu_GA~~/</x:v>
      </x:c>
    </x:row>
    <x:row r="31" ht="62" customHeight="1">
      <x:c r="A31" s="16" t="str">
        <x:v>030</x:v>
      </x:c>
      <x:c r="B31" s="17" t="str">
        <x:v>数据分析师</x:v>
      </x:c>
      <x:c r="C31" s="17" t="str">
        <x:v>小米</x:v>
      </x:c>
      <x:c r="D31" s="17" t="str">
        <x:v>互联网/科技</x:v>
      </x:c>
      <x:c r="E31" s="17" t="str">
        <x:v>北京</x:v>
      </x:c>
      <x:c r="F31" s="18" t="str">
        <x:v>25-50K·16薪</x:v>
      </x:c>
      <x:c r="G31" s="17" t="str">
        <x:v>5-10年</x:v>
      </x:c>
      <x:c r="H31" s="17" t="str">
        <x:v>本科</x:v>
      </x:c>
      <x:c r="I31" s="17" t="str">
        <x:v>Agent; 指标体系; 数据看板</x:v>
      </x:c>
      <x:c r="J31" s="17" t="str">
        <x:v>公开JD摘要：建立Agent效率指标，跟踪任务完成率、响应速度等表现。</x:v>
      </x:c>
      <x:c r="K31" s="19" t="n">
        <x:v>1</x:v>
      </x:c>
      <x:c r="L31" s="17" t="str">
        <x:v>Agent</x:v>
      </x:c>
      <x:c r="M31" s="17" t="str">
        <x:v>BOSS直聘</x:v>
      </x:c>
      <x:c r="N31" s="20" t="n">
        <x:v>46293</x:v>
      </x:c>
      <x:c r="O31" s="22" t="str">
        <x:v>https://www.zhipin.com/zhaopin/83c34f3e07fa0da91n1y3d66Ew~~/</x:v>
      </x:c>
    </x:row>
    <x:row r="32" ht="62" customHeight="1">
      <x:c r="A32" s="11" t="str">
        <x:v>031</x:v>
      </x:c>
      <x:c r="B32" s="12" t="str">
        <x:v>数据分析师</x:v>
      </x:c>
      <x:c r="C32" s="12" t="str">
        <x:v>知产宝</x:v>
      </x:c>
      <x:c r="D32" s="12" t="str">
        <x:v>互联网/科技</x:v>
      </x:c>
      <x:c r="E32" s="12" t="str">
        <x:v>北京</x:v>
      </x:c>
      <x:c r="F32" s="13" t="str">
        <x:v>4-6K</x:v>
      </x:c>
      <x:c r="G32" s="12" t="str">
        <x:v>1年以内</x:v>
      </x:c>
      <x:c r="H32" s="12" t="str">
        <x:v>本科</x:v>
      </x:c>
      <x:c r="I32" s="12" t="str">
        <x:v>数据采集; 数据清洗; 分析模型</x:v>
      </x:c>
      <x:c r="J32" s="12" t="str">
        <x:v>公开JD摘要：整理和分析业务数据，辅助建立决策分析模型。</x:v>
      </x:c>
      <x:c r="K32" s="14" t="n">
        <x:v>0</x:v>
      </x:c>
      <x:c r="L32" s="12" t="str">
        <x:v>未见（公开摘要）</x:v>
      </x:c>
      <x:c r="M32" s="12" t="str">
        <x:v>BOSS直聘</x:v>
      </x:c>
      <x:c r="N32" s="15" t="n">
        <x:v>46293</x:v>
      </x:c>
      <x:c r="O32" s="21" t="str">
        <x:v>https://www.zhipin.com/zhaopin/83c34f3e07fa0da91n1y3d66Ew~~/</x:v>
      </x:c>
    </x:row>
    <x:row r="33" ht="62" customHeight="1">
      <x:c r="A33" s="16" t="str">
        <x:v>032</x:v>
      </x:c>
      <x:c r="B33" s="17" t="str">
        <x:v>数据分析师</x:v>
      </x:c>
      <x:c r="C33" s="17" t="str">
        <x:v>作业帮</x:v>
      </x:c>
      <x:c r="D33" s="17" t="str">
        <x:v>互联网/科技</x:v>
      </x:c>
      <x:c r="E33" s="17" t="str">
        <x:v>北京</x:v>
      </x:c>
      <x:c r="F33" s="18" t="str">
        <x:v>15-30K·13薪</x:v>
      </x:c>
      <x:c r="G33" s="17" t="str">
        <x:v>3-5年</x:v>
      </x:c>
      <x:c r="H33" s="17" t="str">
        <x:v>本科</x:v>
      </x:c>
      <x:c r="I33" s="17" t="str">
        <x:v>专题分析; 数据查询; 运营策略</x:v>
      </x:c>
      <x:c r="J33" s="17" t="str">
        <x:v>公开JD摘要：响应业务分析需求，研究专题并提出运营改进建议。</x:v>
      </x:c>
      <x:c r="K33" s="19" t="n">
        <x:v>0</x:v>
      </x:c>
      <x:c r="L33" s="17" t="str">
        <x:v>未见（公开摘要）</x:v>
      </x:c>
      <x:c r="M33" s="17" t="str">
        <x:v>BOSS直聘</x:v>
      </x:c>
      <x:c r="N33" s="20" t="n">
        <x:v>46293</x:v>
      </x:c>
      <x:c r="O33" s="22" t="str">
        <x:v>https://www.zhipin.com/zhaopin/83c34f3e07fa0da91n1y3d66Ew~~/</x:v>
      </x:c>
    </x:row>
    <x:row r="34" ht="62" customHeight="1">
      <x:c r="A34" s="11" t="str">
        <x:v>033</x:v>
      </x:c>
      <x:c r="B34" s="12" t="str">
        <x:v>数据分析师</x:v>
      </x:c>
      <x:c r="C34" s="12" t="str">
        <x:v>冲云破雾科技有限公司</x:v>
      </x:c>
      <x:c r="D34" s="12" t="str">
        <x:v>互联网/科技</x:v>
      </x:c>
      <x:c r="E34" s="12" t="str">
        <x:v>北京</x:v>
      </x:c>
      <x:c r="F34" s="13" t="str">
        <x:v>15-30K·14薪</x:v>
      </x:c>
      <x:c r="G34" s="12" t="str">
        <x:v>3-5年</x:v>
      </x:c>
      <x:c r="H34" s="12" t="str">
        <x:v>本科</x:v>
      </x:c>
      <x:c r="I34" s="12" t="str">
        <x:v>用户行为; 留存分析; A/B测试</x:v>
      </x:c>
      <x:c r="J34" s="12" t="str">
        <x:v>公开JD摘要：分析游戏用户及收入数据，通过A/B测试评估改动。</x:v>
      </x:c>
      <x:c r="K34" s="14" t="n">
        <x:v>0</x:v>
      </x:c>
      <x:c r="L34" s="12" t="str">
        <x:v>未见（公开摘要）</x:v>
      </x:c>
      <x:c r="M34" s="12" t="str">
        <x:v>BOSS直聘</x:v>
      </x:c>
      <x:c r="N34" s="15" t="n">
        <x:v>46293</x:v>
      </x:c>
      <x:c r="O34" s="21" t="str">
        <x:v>https://www.zhipin.com/zhaopin/83c34f3e07fa0da91n1y3d66Ew~~/</x:v>
      </x:c>
    </x:row>
    <x:row r="35" ht="62" customHeight="1">
      <x:c r="A35" s="16" t="str">
        <x:v>034</x:v>
      </x:c>
      <x:c r="B35" s="17" t="str">
        <x:v>数据分析师</x:v>
      </x:c>
      <x:c r="C35" s="17" t="str">
        <x:v>协合运维</x:v>
      </x:c>
      <x:c r="D35" s="17" t="str">
        <x:v>新能源</x:v>
      </x:c>
      <x:c r="E35" s="17" t="str">
        <x:v>北京</x:v>
      </x:c>
      <x:c r="F35" s="18" t="str">
        <x:v>15-20K</x:v>
      </x:c>
      <x:c r="G35" s="17" t="str">
        <x:v>3-5年</x:v>
      </x:c>
      <x:c r="H35" s="17" t="str">
        <x:v>本科</x:v>
      </x:c>
      <x:c r="I35" s="17" t="str">
        <x:v>运维分析; 数据可视化; 数据产品</x:v>
      </x:c>
      <x:c r="J35" s="17" t="str">
        <x:v>公开JD摘要：整理运维数据并制作分析看板，参与数据产品设计。</x:v>
      </x:c>
      <x:c r="K35" s="19" t="n">
        <x:v>0</x:v>
      </x:c>
      <x:c r="L35" s="17" t="str">
        <x:v>未见（公开摘要）</x:v>
      </x:c>
      <x:c r="M35" s="17" t="str">
        <x:v>BOSS直聘</x:v>
      </x:c>
      <x:c r="N35" s="20" t="n">
        <x:v>46293</x:v>
      </x:c>
      <x:c r="O35" s="22" t="str">
        <x:v>https://m.zhipin.com/zhaopin/e9cb010d67fbb9c903Nz09W0GQ~~/</x:v>
      </x:c>
    </x:row>
    <x:row r="36" ht="62" customHeight="1">
      <x:c r="A36" s="11" t="str">
        <x:v>035</x:v>
      </x:c>
      <x:c r="B36" s="12" t="str">
        <x:v>数据分析师</x:v>
      </x:c>
      <x:c r="C36" s="12" t="str">
        <x:v>莱熙科技</x:v>
      </x:c>
      <x:c r="D36" s="12" t="str">
        <x:v>互联网/科技</x:v>
      </x:c>
      <x:c r="E36" s="12" t="str">
        <x:v>北京</x:v>
      </x:c>
      <x:c r="F36" s="13" t="str">
        <x:v>15-30K·15薪</x:v>
      </x:c>
      <x:c r="G36" s="12" t="str">
        <x:v>1-3年</x:v>
      </x:c>
      <x:c r="H36" s="12" t="str">
        <x:v>本科</x:v>
      </x:c>
      <x:c r="I36" s="12" t="str">
        <x:v>指标监控; 策略评估; 数据反馈</x:v>
      </x:c>
      <x:c r="J36" s="12" t="str">
        <x:v>公开JD摘要：跟踪功能及策略变化后的指标，完善业务监控。</x:v>
      </x:c>
      <x:c r="K36" s="14" t="n">
        <x:v>0</x:v>
      </x:c>
      <x:c r="L36" s="12" t="str">
        <x:v>未见（公开摘要）</x:v>
      </x:c>
      <x:c r="M36" s="12" t="str">
        <x:v>BOSS直聘</x:v>
      </x:c>
      <x:c r="N36" s="15" t="n">
        <x:v>46293</x:v>
      </x:c>
      <x:c r="O36" s="21" t="str">
        <x:v>https://m.zhipin.com/zhaopin/e9cb010d67fbb9c903Nz09W0GQ~~/</x:v>
      </x:c>
    </x:row>
    <x:row r="37" ht="62" customHeight="1">
      <x:c r="A37" s="16" t="str">
        <x:v>036</x:v>
      </x:c>
      <x:c r="B37" s="17" t="str">
        <x:v>数据分析师</x:v>
      </x:c>
      <x:c r="C37" s="17" t="str">
        <x:v>亿达信息</x:v>
      </x:c>
      <x:c r="D37" s="17" t="str">
        <x:v>互联网/科技</x:v>
      </x:c>
      <x:c r="E37" s="17" t="str">
        <x:v>北京</x:v>
      </x:c>
      <x:c r="F37" s="18" t="str">
        <x:v>7-8K</x:v>
      </x:c>
      <x:c r="G37" s="17" t="str">
        <x:v>1-3年</x:v>
      </x:c>
      <x:c r="H37" s="17" t="str">
        <x:v>本科</x:v>
      </x:c>
      <x:c r="I37" s="17" t="str">
        <x:v>数据产品; 指标框架; 策略建议</x:v>
      </x:c>
      <x:c r="J37" s="17" t="str">
        <x:v>公开JD摘要：规划数据产品及指标框架，推动分析建议落地。</x:v>
      </x:c>
      <x:c r="K37" s="19" t="n">
        <x:v>0</x:v>
      </x:c>
      <x:c r="L37" s="17" t="str">
        <x:v>未见（公开摘要）</x:v>
      </x:c>
      <x:c r="M37" s="17" t="str">
        <x:v>BOSS直聘</x:v>
      </x:c>
      <x:c r="N37" s="20" t="n">
        <x:v>46293</x:v>
      </x:c>
      <x:c r="O37" s="22" t="str">
        <x:v>https://m.zhipin.com/zhaopin/e9cb010d67fbb9c903Nz09W0GQ~~/</x:v>
      </x:c>
    </x:row>
    <x:row r="38" ht="62" customHeight="1">
      <x:c r="A38" s="11" t="str">
        <x:v>037</x:v>
      </x:c>
      <x:c r="B38" s="12" t="str">
        <x:v>数据分析师-用户增长</x:v>
      </x:c>
      <x:c r="C38" s="12" t="str">
        <x:v>迅雷网络</x:v>
      </x:c>
      <x:c r="D38" s="12" t="str">
        <x:v>互联网/科技</x:v>
      </x:c>
      <x:c r="E38" s="12" t="str">
        <x:v>深圳</x:v>
      </x:c>
      <x:c r="F38" s="13" t="str">
        <x:v>20-40K·15薪</x:v>
      </x:c>
      <x:c r="G38" s="12" t="str">
        <x:v>3-5年</x:v>
      </x:c>
      <x:c r="H38" s="12" t="str">
        <x:v>本科</x:v>
      </x:c>
      <x:c r="I38" s="12" t="str">
        <x:v>ROI; 投放分析; 费用诊断</x:v>
      </x:c>
      <x:c r="J38" s="12" t="str">
        <x:v>公开JD摘要：分析广告投放效率，拆解ROI变化并提出优化建议。</x:v>
      </x:c>
      <x:c r="K38" s="14" t="n">
        <x:v>0</x:v>
      </x:c>
      <x:c r="L38" s="12" t="str">
        <x:v>未见（公开摘要）</x:v>
      </x:c>
      <x:c r="M38" s="12" t="str">
        <x:v>BOSS直聘</x:v>
      </x:c>
      <x:c r="N38" s="15" t="n">
        <x:v>46293</x:v>
      </x:c>
      <x:c r="O38" s="21" t="str">
        <x:v>https://www.zhipin.com/zhaopin/513eb1c0ccc8b29d0nV52dq9EQ~~/</x:v>
      </x:c>
    </x:row>
    <x:row r="39" ht="62" customHeight="1">
      <x:c r="A39" s="16" t="str">
        <x:v>038</x:v>
      </x:c>
      <x:c r="B39" s="17" t="str">
        <x:v>大数据分析师（用户增长）</x:v>
      </x:c>
      <x:c r="C39" s="17" t="str">
        <x:v>中信银行信用卡中心</x:v>
      </x:c>
      <x:c r="D39" s="17" t="str">
        <x:v>金融科技</x:v>
      </x:c>
      <x:c r="E39" s="17" t="str">
        <x:v>深圳</x:v>
      </x:c>
      <x:c r="F39" s="18" t="str">
        <x:v>25-50K·15薪</x:v>
      </x:c>
      <x:c r="G39" s="17" t="str">
        <x:v>5-10年</x:v>
      </x:c>
      <x:c r="H39" s="17" t="str">
        <x:v>本科</x:v>
      </x:c>
      <x:c r="I39" s="17" t="str">
        <x:v>技术方案; 风控效率; 项目实施</x:v>
      </x:c>
      <x:c r="J39" s="17" t="str">
        <x:v>公开JD摘要：支持信用卡业务专项，制定资源整合及风控项目实施方案。</x:v>
      </x:c>
      <x:c r="K39" s="19" t="n">
        <x:v>0</x:v>
      </x:c>
      <x:c r="L39" s="17" t="str">
        <x:v>未见（公开摘要）</x:v>
      </x:c>
      <x:c r="M39" s="17" t="str">
        <x:v>BOSS直聘</x:v>
      </x:c>
      <x:c r="N39" s="20" t="n">
        <x:v>46293</x:v>
      </x:c>
      <x:c r="O39" s="22" t="str">
        <x:v>https://www.zhipin.com/zhaopin/513eb1c0ccc8b29d0nV52dq9EQ~~/</x:v>
      </x:c>
    </x:row>
    <x:row r="40" ht="62" customHeight="1">
      <x:c r="A40" s="11" t="str">
        <x:v>039</x:v>
      </x:c>
      <x:c r="B40" s="12" t="str">
        <x:v>高级数据分析师（市场方向）</x:v>
      </x:c>
      <x:c r="C40" s="12" t="str">
        <x:v>阿麦斯</x:v>
      </x:c>
      <x:c r="D40" s="12" t="str">
        <x:v>消费品</x:v>
      </x:c>
      <x:c r="E40" s="12" t="str">
        <x:v>深圳</x:v>
      </x:c>
      <x:c r="F40" s="13" t="str">
        <x:v>20-30K</x:v>
      </x:c>
      <x:c r="G40" s="12" t="str">
        <x:v>5-10年</x:v>
      </x:c>
      <x:c r="H40" s="12" t="str">
        <x:v>本科</x:v>
      </x:c>
      <x:c r="I40" s="12" t="str">
        <x:v>市场数据库; 情报体系; 数据规范</x:v>
      </x:c>
      <x:c r="J40" s="12" t="str">
        <x:v>公开JD摘要：建立消费及渠道数据库，规范市场数据采集和维护。</x:v>
      </x:c>
      <x:c r="K40" s="14" t="n">
        <x:v>0</x:v>
      </x:c>
      <x:c r="L40" s="12" t="str">
        <x:v>未见（公开摘要）</x:v>
      </x:c>
      <x:c r="M40" s="12" t="str">
        <x:v>BOSS直聘</x:v>
      </x:c>
      <x:c r="N40" s="15" t="n">
        <x:v>46293</x:v>
      </x:c>
      <x:c r="O40" s="21" t="str">
        <x:v>https://www.zhipin.com/zhaopin/513eb1c0ccc8b29d0nV52dq9EQ~~/</x:v>
      </x:c>
    </x:row>
    <x:row r="41" ht="62" customHeight="1">
      <x:c r="A41" s="16" t="str">
        <x:v>040</x:v>
      </x:c>
      <x:c r="B41" s="17" t="str">
        <x:v>高级数据分析师—影像（深圳） (MJ002236)</x:v>
      </x:c>
      <x:c r="C41" s="17" t="str">
        <x:v>美图公司</x:v>
      </x:c>
      <x:c r="D41" s="17" t="str">
        <x:v>互联网/科技</x:v>
      </x:c>
      <x:c r="E41" s="17" t="str">
        <x:v>深圳</x:v>
      </x:c>
      <x:c r="F41" s="18" t="str">
        <x:v>20-40K·15薪</x:v>
      </x:c>
      <x:c r="G41" s="17" t="str">
        <x:v>3-5年</x:v>
      </x:c>
      <x:c r="H41" s="17" t="str">
        <x:v>本科</x:v>
      </x:c>
      <x:c r="I41" s="17" t="str">
        <x:v>业务指标; 异常诊断; 数据看板</x:v>
      </x:c>
      <x:c r="J41" s="17" t="str">
        <x:v>公开JD摘要：维护核心业务指标，排查异常并输出周期数据看板。</x:v>
      </x:c>
      <x:c r="K41" s="19" t="n">
        <x:v>0</x:v>
      </x:c>
      <x:c r="L41" s="17" t="str">
        <x:v>未见（公开摘要）</x:v>
      </x:c>
      <x:c r="M41" s="17" t="str">
        <x:v>BOSS直聘</x:v>
      </x:c>
      <x:c r="N41" s="20" t="n">
        <x:v>46293</x:v>
      </x:c>
      <x:c r="O41" s="22" t="str">
        <x:v>https://www.zhipin.com/zhaopin/513eb1c0ccc8b29d0nV52dq9EQ~~/</x:v>
      </x:c>
    </x:row>
    <x:row r="42" ht="62" customHeight="1">
      <x:c r="A42" s="11" t="str">
        <x:v>041</x:v>
      </x:c>
      <x:c r="B42" s="12" t="str">
        <x:v>商业分析师</x:v>
      </x:c>
      <x:c r="C42" s="12" t="str">
        <x:v>得物App</x:v>
      </x:c>
      <x:c r="D42" s="12" t="str">
        <x:v>电子商务</x:v>
      </x:c>
      <x:c r="E42" s="12" t="str">
        <x:v>上海</x:v>
      </x:c>
      <x:c r="F42" s="13" t="str">
        <x:v>30-60K·16薪</x:v>
      </x:c>
      <x:c r="G42" s="12" t="str">
        <x:v>3-5年</x:v>
      </x:c>
      <x:c r="H42" s="12" t="str">
        <x:v>本科</x:v>
      </x:c>
      <x:c r="I42" s="12" t="str">
        <x:v>业务调研; 流程分析; 指标体系</x:v>
      </x:c>
      <x:c r="J42" s="12" t="str">
        <x:v>公开JD摘要：研究电商和社区业务需求，改进经营管理指标。</x:v>
      </x:c>
      <x:c r="K42" s="14" t="n">
        <x:v>0</x:v>
      </x:c>
      <x:c r="L42" s="12" t="str">
        <x:v>未见（公开摘要）</x:v>
      </x:c>
      <x:c r="M42" s="12" t="str">
        <x:v>BOSS直聘</x:v>
      </x:c>
      <x:c r="N42" s="15" t="n">
        <x:v>46293</x:v>
      </x:c>
      <x:c r="O42" s="21" t="str">
        <x:v>https://www.zhipin.com/zhaopin/6151e064cc6179f71HV429q1FA~~/</x:v>
      </x:c>
    </x:row>
    <x:row r="43" ht="62" customHeight="1">
      <x:c r="A43" s="16" t="str">
        <x:v>042</x:v>
      </x:c>
      <x:c r="B43" s="17" t="str">
        <x:v>商业数据分析师</x:v>
      </x:c>
      <x:c r="C43" s="17" t="str">
        <x:v>万辰集团</x:v>
      </x:c>
      <x:c r="D43" s="17" t="str">
        <x:v>消费品</x:v>
      </x:c>
      <x:c r="E43" s="17" t="str">
        <x:v>上海</x:v>
      </x:c>
      <x:c r="F43" s="18" t="str">
        <x:v>15-30K</x:v>
      </x:c>
      <x:c r="G43" s="17" t="str">
        <x:v>1-3年</x:v>
      </x:c>
      <x:c r="H43" s="17" t="str">
        <x:v>本科</x:v>
      </x:c>
      <x:c r="I43" s="17" t="str">
        <x:v>经营指标; 问题诊断; 业务改进</x:v>
      </x:c>
      <x:c r="J43" s="17" t="str">
        <x:v>公开JD摘要：分析经营指标和业务痛点，形成业务改善方案。</x:v>
      </x:c>
      <x:c r="K43" s="19" t="n">
        <x:v>0</x:v>
      </x:c>
      <x:c r="L43" s="17" t="str">
        <x:v>未见（公开摘要）</x:v>
      </x:c>
      <x:c r="M43" s="17" t="str">
        <x:v>BOSS直聘</x:v>
      </x:c>
      <x:c r="N43" s="20" t="n">
        <x:v>46293</x:v>
      </x:c>
      <x:c r="O43" s="22" t="str">
        <x:v>https://www.zhipin.com/zhaopin/6151e064cc6179f71HV429q1FA~~/</x:v>
      </x:c>
    </x:row>
    <x:row r="44" ht="62" customHeight="1">
      <x:c r="A44" s="11" t="str">
        <x:v>043</x:v>
      </x:c>
      <x:c r="B44" s="12" t="str">
        <x:v>商业数据分析专家</x:v>
      </x:c>
      <x:c r="C44" s="12" t="str">
        <x:v>鸣鸣很忙集团</x:v>
      </x:c>
      <x:c r="D44" s="12" t="str">
        <x:v>消费品</x:v>
      </x:c>
      <x:c r="E44" s="12" t="str">
        <x:v>上海</x:v>
      </x:c>
      <x:c r="F44" s="13" t="str">
        <x:v>20-30K·14薪</x:v>
      </x:c>
      <x:c r="G44" s="12" t="str">
        <x:v>5-10年</x:v>
      </x:c>
      <x:c r="H44" s="12" t="str">
        <x:v>本科</x:v>
      </x:c>
      <x:c r="I44" s="12" t="str">
        <x:v>商业洞察; 经营分析; 市场测试</x:v>
      </x:c>
      <x:c r="J44" s="12" t="str">
        <x:v>公开JD摘要：研究经营问题并提供数据支持，参与市场测试。</x:v>
      </x:c>
      <x:c r="K44" s="14" t="n">
        <x:v>0</x:v>
      </x:c>
      <x:c r="L44" s="12" t="str">
        <x:v>未见（公开摘要）</x:v>
      </x:c>
      <x:c r="M44" s="12" t="str">
        <x:v>BOSS直聘</x:v>
      </x:c>
      <x:c r="N44" s="15" t="n">
        <x:v>46293</x:v>
      </x:c>
      <x:c r="O44" s="21" t="str">
        <x:v>https://www.zhipin.com/zhaopin/6151e064cc6179f71HV429q1FA~~/</x:v>
      </x:c>
    </x:row>
    <x:row r="45" ht="62" customHeight="1">
      <x:c r="A45" s="16" t="str">
        <x:v>044</x:v>
      </x:c>
      <x:c r="B45" s="17" t="str">
        <x:v>商业分析</x:v>
      </x:c>
      <x:c r="C45" s="17" t="str">
        <x:v>企迈科技</x:v>
      </x:c>
      <x:c r="D45" s="17" t="str">
        <x:v>互联网/科技</x:v>
      </x:c>
      <x:c r="E45" s="17" t="str">
        <x:v>上海</x:v>
      </x:c>
      <x:c r="F45" s="18" t="str">
        <x:v>30-50K·15薪</x:v>
      </x:c>
      <x:c r="G45" s="17" t="str">
        <x:v>5-10年</x:v>
      </x:c>
      <x:c r="H45" s="17" t="str">
        <x:v>本科</x:v>
      </x:c>
      <x:c r="I45" s="17" t="str">
        <x:v>定价策略; 商业测算; 跨部门协作</x:v>
      </x:c>
      <x:c r="J45" s="17" t="str">
        <x:v>公开JD摘要：设计套餐与折扣规则，组织评审并评估商业方案。</x:v>
      </x:c>
      <x:c r="K45" s="19" t="n">
        <x:v>0</x:v>
      </x:c>
      <x:c r="L45" s="17" t="str">
        <x:v>未见（公开摘要）</x:v>
      </x:c>
      <x:c r="M45" s="17" t="str">
        <x:v>BOSS直聘</x:v>
      </x:c>
      <x:c r="N45" s="20" t="n">
        <x:v>46293</x:v>
      </x:c>
      <x:c r="O45" s="22" t="str">
        <x:v>https://www.zhipin.com/zhaopin/6151e064cc6179f71HV429q1FA~~/</x:v>
      </x:c>
    </x:row>
    <x:row r="46" ht="62" customHeight="1">
      <x:c r="A46" s="11" t="str">
        <x:v>045</x:v>
      </x:c>
      <x:c r="B46" s="12" t="str">
        <x:v>阿里国际-商业数据分析专家-金融方向</x:v>
      </x:c>
      <x:c r="C46" s="12" t="str">
        <x:v>阿里巴巴集团</x:v>
      </x:c>
      <x:c r="D46" s="12" t="str">
        <x:v>互联网/科技</x:v>
      </x:c>
      <x:c r="E46" s="12" t="str">
        <x:v>杭州</x:v>
      </x:c>
      <x:c r="F46" s="13" t="str">
        <x:v>25-40K·13薪</x:v>
      </x:c>
      <x:c r="G46" s="12" t="str">
        <x:v>5-10年</x:v>
      </x:c>
      <x:c r="H46" s="12" t="str">
        <x:v>本科</x:v>
      </x:c>
      <x:c r="I46" s="12" t="str">
        <x:v>经营分析; 指标体系; 业务监控</x:v>
      </x:c>
      <x:c r="J46" s="12" t="str">
        <x:v>公开JD摘要：构建经营监控框架，识别业务问题并开展数据挖掘。</x:v>
      </x:c>
      <x:c r="K46" s="14" t="n">
        <x:v>0</x:v>
      </x:c>
      <x:c r="L46" s="12" t="str">
        <x:v>未见（公开摘要）</x:v>
      </x:c>
      <x:c r="M46" s="12" t="str">
        <x:v>BOSS直聘</x:v>
      </x:c>
      <x:c r="N46" s="15" t="n">
        <x:v>46293</x:v>
      </x:c>
      <x:c r="O46" s="21" t="str">
        <x:v>https://www.zhipin.com/zhaopin/41502b7a06e6608a0XN_0tm9/</x:v>
      </x:c>
    </x:row>
    <x:row r="47" ht="62" customHeight="1">
      <x:c r="A47" s="16" t="str">
        <x:v>046</x:v>
      </x:c>
      <x:c r="B47" s="17" t="str">
        <x:v>商业分析专家</x:v>
      </x:c>
      <x:c r="C47" s="17" t="str">
        <x:v>小蚕</x:v>
      </x:c>
      <x:c r="D47" s="17" t="str">
        <x:v>互联网/科技</x:v>
      </x:c>
      <x:c r="E47" s="17" t="str">
        <x:v>杭州</x:v>
      </x:c>
      <x:c r="F47" s="18" t="str">
        <x:v>20-40K·14薪</x:v>
      </x:c>
      <x:c r="G47" s="17" t="str">
        <x:v>3-5年</x:v>
      </x:c>
      <x:c r="H47" s="17" t="str">
        <x:v>本科</x:v>
      </x:c>
      <x:c r="I47" s="17" t="str">
        <x:v>数据建模; 行业分析; 商业洞察</x:v>
      </x:c>
      <x:c r="J47" s="17" t="str">
        <x:v>公开JD摘要：结合模型与行业研究识别增长机会，提出业务建议。</x:v>
      </x:c>
      <x:c r="K47" s="19" t="n">
        <x:v>0</x:v>
      </x:c>
      <x:c r="L47" s="17" t="str">
        <x:v>未见（公开摘要）</x:v>
      </x:c>
      <x:c r="M47" s="17" t="str">
        <x:v>BOSS直聘</x:v>
      </x:c>
      <x:c r="N47" s="20" t="n">
        <x:v>46293</x:v>
      </x:c>
      <x:c r="O47" s="22" t="str">
        <x:v>https://www.zhipin.com/zhaopin/4f75e8d28eba66fe3nB62N-5/</x:v>
      </x:c>
    </x:row>
    <x:row r="48" ht="62" customHeight="1">
      <x:c r="A48" s="11" t="str">
        <x:v>047</x:v>
      </x:c>
      <x:c r="B48" s="12" t="str">
        <x:v>商业分析师</x:v>
      </x:c>
      <x:c r="C48" s="12" t="str">
        <x:v>古茗茶饮</x:v>
      </x:c>
      <x:c r="D48" s="12" t="str">
        <x:v>消费品</x:v>
      </x:c>
      <x:c r="E48" s="12" t="str">
        <x:v>杭州</x:v>
      </x:c>
      <x:c r="F48" s="13" t="str">
        <x:v>20-35K·13薪</x:v>
      </x:c>
      <x:c r="G48" s="12" t="str">
        <x:v>3-5年</x:v>
      </x:c>
      <x:c r="H48" s="12" t="str">
        <x:v>本科</x:v>
      </x:c>
      <x:c r="I48" s="12" t="str">
        <x:v>业务分析; 策略制定; 发展规划</x:v>
      </x:c>
      <x:c r="J48" s="12" t="str">
        <x:v>公开JD摘要：参与集团业务研究，为经营与营销问题设计方案。</x:v>
      </x:c>
      <x:c r="K48" s="14" t="n">
        <x:v>0</x:v>
      </x:c>
      <x:c r="L48" s="12" t="str">
        <x:v>未见（公开摘要）</x:v>
      </x:c>
      <x:c r="M48" s="12" t="str">
        <x:v>BOSS直聘</x:v>
      </x:c>
      <x:c r="N48" s="15" t="n">
        <x:v>46293</x:v>
      </x:c>
      <x:c r="O48" s="21" t="str">
        <x:v>https://www.zhipin.com/zhaopin/4f75e8d28eba66fe3nB62N-5/</x:v>
      </x:c>
    </x:row>
    <x:row r="49" ht="62" customHeight="1">
      <x:c r="A49" s="16" t="str">
        <x:v>048</x:v>
      </x:c>
      <x:c r="B49" s="17" t="str">
        <x:v>高级商业分析师(J10284)</x:v>
      </x:c>
      <x:c r="C49" s="17" t="str">
        <x:v>火奴数据</x:v>
      </x:c>
      <x:c r="D49" s="17" t="str">
        <x:v>互联网/科技</x:v>
      </x:c>
      <x:c r="E49" s="17" t="str">
        <x:v>杭州</x:v>
      </x:c>
      <x:c r="F49" s="18" t="str">
        <x:v>10-15K</x:v>
      </x:c>
      <x:c r="G49" s="17" t="str">
        <x:v>3-5年</x:v>
      </x:c>
      <x:c r="H49" s="17" t="str">
        <x:v>本科</x:v>
      </x:c>
      <x:c r="I49" s="17" t="str">
        <x:v>消费者分析; 营销复盘; 运营策略</x:v>
      </x:c>
      <x:c r="J49" s="17" t="str">
        <x:v>公开JD摘要：分析品牌用户和营销表现，提出店铺运营建议。</x:v>
      </x:c>
      <x:c r="K49" s="19" t="n">
        <x:v>0</x:v>
      </x:c>
      <x:c r="L49" s="17" t="str">
        <x:v>未见（公开摘要）</x:v>
      </x:c>
      <x:c r="M49" s="17" t="str">
        <x:v>BOSS直聘</x:v>
      </x:c>
      <x:c r="N49" s="20" t="n">
        <x:v>46293</x:v>
      </x:c>
      <x:c r="O49" s="22" t="str">
        <x:v>https://www.zhipin.com/zhaopin/4f75e8d28eba66fe3nB62N-5/</x:v>
      </x:c>
    </x:row>
    <x:row r="50" ht="62" customHeight="1">
      <x:c r="A50" s="11" t="str">
        <x:v>049</x:v>
      </x:c>
      <x:c r="B50" s="12" t="str">
        <x:v>钱塘征信-商业分析专家-杭州</x:v>
      </x:c>
      <x:c r="C50" s="12" t="str">
        <x:v>蚂蚁集团</x:v>
      </x:c>
      <x:c r="D50" s="12" t="str">
        <x:v>金融科技</x:v>
      </x:c>
      <x:c r="E50" s="12" t="str">
        <x:v>杭州</x:v>
      </x:c>
      <x:c r="F50" s="13" t="str">
        <x:v>25-50K·15薪</x:v>
      </x:c>
      <x:c r="G50" s="12" t="str">
        <x:v>3-5年</x:v>
      </x:c>
      <x:c r="H50" s="12" t="str">
        <x:v>本科</x:v>
      </x:c>
      <x:c r="I50" s="12" t="str">
        <x:v>用户转化; 用户画像; 产品分析</x:v>
      </x:c>
      <x:c r="J50" s="12" t="str">
        <x:v>公开JD摘要：研究产品入口转化链路，提炼用户画像与效果改进方向。</x:v>
      </x:c>
      <x:c r="K50" s="14" t="n">
        <x:v>0</x:v>
      </x:c>
      <x:c r="L50" s="12" t="str">
        <x:v>未见（公开摘要）</x:v>
      </x:c>
      <x:c r="M50" s="12" t="str">
        <x:v>BOSS直聘</x:v>
      </x:c>
      <x:c r="N50" s="15" t="n">
        <x:v>46293</x:v>
      </x:c>
      <x:c r="O50" s="21" t="str">
        <x:v>https://www.zhipin.com/zhaopin/4f75e8d28eba66fe3nB62N-5/</x:v>
      </x:c>
    </x:row>
    <x:row r="51" ht="62" customHeight="1">
      <x:c r="A51" s="16" t="str">
        <x:v>050</x:v>
      </x:c>
      <x:c r="B51" s="17" t="str">
        <x:v>商业分析经理</x:v>
      </x:c>
      <x:c r="C51" s="17" t="str">
        <x:v>腾讯音乐</x:v>
      </x:c>
      <x:c r="D51" s="17" t="str">
        <x:v>互联网/科技</x:v>
      </x:c>
      <x:c r="E51" s="17" t="str">
        <x:v>深圳</x:v>
      </x:c>
      <x:c r="F51" s="18" t="str">
        <x:v>40-60K·16薪</x:v>
      </x:c>
      <x:c r="G51" s="17" t="str">
        <x:v>5-10年</x:v>
      </x:c>
      <x:c r="H51" s="17" t="str">
        <x:v>本科</x:v>
      </x:c>
      <x:c r="I51" s="17" t="str">
        <x:v>海外业务分析; 行业研究; 问题拆解</x:v>
      </x:c>
      <x:c r="J51" s="17" t="str">
        <x:v>公开JD摘要：分析演出与海外业务，识别问题并推动业务改善。</x:v>
      </x:c>
      <x:c r="K51" s="19" t="n">
        <x:v>0</x:v>
      </x:c>
      <x:c r="L51" s="17" t="str">
        <x:v>未见（公开摘要）</x:v>
      </x:c>
      <x:c r="M51" s="17" t="str">
        <x:v>BOSS直聘</x:v>
      </x:c>
      <x:c r="N51" s="20" t="n">
        <x:v>46293</x:v>
      </x:c>
      <x:c r="O51" s="22" t="str">
        <x:v>https://www.zhipin.com/zhaopin/d51d49a3530fade01XF-0tm7/</x:v>
      </x:c>
    </x:row>
    <x:row r="52" ht="62" customHeight="1">
      <x:c r="A52" s="11" t="str">
        <x:v>051</x:v>
      </x:c>
      <x:c r="B52" s="12" t="str">
        <x:v>商业分析师</x:v>
      </x:c>
      <x:c r="C52" s="12" t="str">
        <x:v>平安银行</x:v>
      </x:c>
      <x:c r="D52" s="12" t="str">
        <x:v>金融科技</x:v>
      </x:c>
      <x:c r="E52" s="12" t="str">
        <x:v>深圳</x:v>
      </x:c>
      <x:c r="F52" s="13" t="str">
        <x:v>30-50K·17薪</x:v>
      </x:c>
      <x:c r="G52" s="12" t="str">
        <x:v>5-10年</x:v>
      </x:c>
      <x:c r="H52" s="12" t="str">
        <x:v>本科</x:v>
      </x:c>
      <x:c r="I52" s="12" t="str">
        <x:v>大模型; 客群挖掘; 自然语言分析</x:v>
      </x:c>
      <x:c r="J52" s="12" t="str">
        <x:v>公开JD摘要：用大模型挖掘客群，建设自然语言查询与经营归因能力。</x:v>
      </x:c>
      <x:c r="K52" s="14" t="n">
        <x:v>1</x:v>
      </x:c>
      <x:c r="L52" s="12" t="str">
        <x:v>大模型; 自然语言</x:v>
      </x:c>
      <x:c r="M52" s="12" t="str">
        <x:v>BOSS直聘</x:v>
      </x:c>
      <x:c r="N52" s="15" t="n">
        <x:v>46293</x:v>
      </x:c>
      <x:c r="O52" s="21" t="str">
        <x:v>https://www.zhipin.com/zhaopin/d51d49a3530fade01XF-0tm7/</x:v>
      </x:c>
    </x:row>
    <x:row r="53" ht="62" customHeight="1">
      <x:c r="A53" s="16" t="str">
        <x:v>052</x:v>
      </x:c>
      <x:c r="B53" s="17" t="str">
        <x:v>商业分析专家</x:v>
      </x:c>
      <x:c r="C53" s="17" t="str">
        <x:v>艾麦物流</x:v>
      </x:c>
      <x:c r="D53" s="17" t="str">
        <x:v>物流</x:v>
      </x:c>
      <x:c r="E53" s="17" t="str">
        <x:v>深圳</x:v>
      </x:c>
      <x:c r="F53" s="18" t="str">
        <x:v>30-60K·14薪</x:v>
      </x:c>
      <x:c r="G53" s="17" t="str">
        <x:v>5-10年</x:v>
      </x:c>
      <x:c r="H53" s="17" t="str">
        <x:v>本科</x:v>
      </x:c>
      <x:c r="I53" s="17" t="str">
        <x:v>运营分析; 商业洞察</x:v>
      </x:c>
      <x:c r="J53" s="17" t="str">
        <x:v>公开JD摘要：承担运营分析工作，为业务提供分析洞察。</x:v>
      </x:c>
      <x:c r="K53" s="19" t="n">
        <x:v>0</x:v>
      </x:c>
      <x:c r="L53" s="17" t="str">
        <x:v>未见（公开摘要）</x:v>
      </x:c>
      <x:c r="M53" s="17" t="str">
        <x:v>BOSS直聘</x:v>
      </x:c>
      <x:c r="N53" s="20" t="n">
        <x:v>46293</x:v>
      </x:c>
      <x:c r="O53" s="22" t="str">
        <x:v>https://www.zhipin.com/zhaopin/d51d49a3530fade01XF-0tm7/</x:v>
      </x:c>
    </x:row>
    <x:row r="54" ht="62" customHeight="1">
      <x:c r="A54" s="11" t="str">
        <x:v>053</x:v>
      </x:c>
      <x:c r="B54" s="12" t="str">
        <x:v>商业分析</x:v>
      </x:c>
      <x:c r="C54" s="12" t="str">
        <x:v>创想三维</x:v>
      </x:c>
      <x:c r="D54" s="12" t="str">
        <x:v>制造业</x:v>
      </x:c>
      <x:c r="E54" s="12" t="str">
        <x:v>深圳</x:v>
      </x:c>
      <x:c r="F54" s="13" t="str">
        <x:v>20-35K</x:v>
      </x:c>
      <x:c r="G54" s="12" t="str">
        <x:v>3-5年</x:v>
      </x:c>
      <x:c r="H54" s="12" t="str">
        <x:v>本科</x:v>
      </x:c>
      <x:c r="I54" s="12" t="str">
        <x:v>业务数据分析; 分析模型; 增长诊断</x:v>
      </x:c>
      <x:c r="J54" s="12" t="str">
        <x:v>公开JD摘要：整理业务数据并优化模型，识别经营问题和增长机会。</x:v>
      </x:c>
      <x:c r="K54" s="14" t="n">
        <x:v>0</x:v>
      </x:c>
      <x:c r="L54" s="12" t="str">
        <x:v>未见（公开摘要）</x:v>
      </x:c>
      <x:c r="M54" s="12" t="str">
        <x:v>BOSS直聘</x:v>
      </x:c>
      <x:c r="N54" s="15" t="n">
        <x:v>46293</x:v>
      </x:c>
      <x:c r="O54" s="21" t="str">
        <x:v>https://www.zhipin.com/zhaopin/d51d49a3530fade01XF-0tm7/</x:v>
      </x:c>
    </x:row>
    <x:row r="55" ht="62" customHeight="1">
      <x:c r="A55" s="16" t="str">
        <x:v>054</x:v>
      </x:c>
      <x:c r="B55" s="17" t="str">
        <x:v>商业分析专家</x:v>
      </x:c>
      <x:c r="C55" s="17" t="str">
        <x:v>滴滴</x:v>
      </x:c>
      <x:c r="D55" s="17" t="str">
        <x:v>互联网/科技</x:v>
      </x:c>
      <x:c r="E55" s="17" t="str">
        <x:v>北京</x:v>
      </x:c>
      <x:c r="F55" s="18" t="str">
        <x:v>25-40K·15薪</x:v>
      </x:c>
      <x:c r="G55" s="17" t="str">
        <x:v>3-5年</x:v>
      </x:c>
      <x:c r="H55" s="17" t="str">
        <x:v>本科</x:v>
      </x:c>
      <x:c r="I55" s="17" t="str">
        <x:v>指标定义; 运营监控; 业务诊断</x:v>
      </x:c>
      <x:c r="J55" s="17" t="str">
        <x:v>公开JD摘要：建立单车运维指标和诊断体系，发现效率改进机会。</x:v>
      </x:c>
      <x:c r="K55" s="19" t="n">
        <x:v>0</x:v>
      </x:c>
      <x:c r="L55" s="17" t="str">
        <x:v>未见（公开摘要）</x:v>
      </x:c>
      <x:c r="M55" s="17" t="str">
        <x:v>BOSS直聘</x:v>
      </x:c>
      <x:c r="N55" s="20" t="n">
        <x:v>46293</x:v>
      </x:c>
      <x:c r="O55" s="22" t="str">
        <x:v>https://www.zhipin.com/zhaopin/105ed5cd1e476b4f1XZ83tm0FQ~~/</x:v>
      </x:c>
    </x:row>
    <x:row r="56" ht="62" customHeight="1">
      <x:c r="A56" s="11" t="str">
        <x:v>055</x:v>
      </x:c>
      <x:c r="B56" s="12" t="str">
        <x:v>商业分析专家</x:v>
      </x:c>
      <x:c r="C56" s="12" t="str">
        <x:v>龙牙战术</x:v>
      </x:c>
      <x:c r="D56" s="12" t="str">
        <x:v>消费品</x:v>
      </x:c>
      <x:c r="E56" s="12" t="str">
        <x:v>北京</x:v>
      </x:c>
      <x:c r="F56" s="13" t="str">
        <x:v>18-25K</x:v>
      </x:c>
      <x:c r="G56" s="12" t="str">
        <x:v>1-3年</x:v>
      </x:c>
      <x:c r="H56" s="12" t="str">
        <x:v>硕士</x:v>
      </x:c>
      <x:c r="I56" s="12" t="str">
        <x:v>直播分析; 转化监控; GMV</x:v>
      </x:c>
      <x:c r="J56" s="12" t="str">
        <x:v>公开JD摘要：跟踪直播流量与转化指标，进行异常预警和周期复盘。</x:v>
      </x:c>
      <x:c r="K56" s="14" t="n">
        <x:v>0</x:v>
      </x:c>
      <x:c r="L56" s="12" t="str">
        <x:v>未见（公开摘要）</x:v>
      </x:c>
      <x:c r="M56" s="12" t="str">
        <x:v>BOSS直聘</x:v>
      </x:c>
      <x:c r="N56" s="15" t="n">
        <x:v>46293</x:v>
      </x:c>
      <x:c r="O56" s="21" t="str">
        <x:v>https://www.zhipin.com/zhaopin/105ed5cd1e476b4f1XZ83tm0FQ~~/</x:v>
      </x:c>
    </x:row>
    <x:row r="57" ht="62" customHeight="1">
      <x:c r="A57" s="16" t="str">
        <x:v>056</x:v>
      </x:c>
      <x:c r="B57" s="17" t="str">
        <x:v>商业分析师</x:v>
      </x:c>
      <x:c r="C57" s="17" t="str">
        <x:v>成丰货运</x:v>
      </x:c>
      <x:c r="D57" s="17" t="str">
        <x:v>物流</x:v>
      </x:c>
      <x:c r="E57" s="17" t="str">
        <x:v>北京</x:v>
      </x:c>
      <x:c r="F57" s="18" t="str">
        <x:v>20-30K·13薪</x:v>
      </x:c>
      <x:c r="G57" s="17" t="str">
        <x:v>5-10年</x:v>
      </x:c>
      <x:c r="H57" s="17" t="str">
        <x:v>本科</x:v>
      </x:c>
      <x:c r="I57" s="17" t="str">
        <x:v>数据诊断; 指标分级; 看板建设</x:v>
      </x:c>
      <x:c r="J57" s="17" t="str">
        <x:v>公开JD摘要：构建分层业务指标与看板，用考核指标支持业务发展。</x:v>
      </x:c>
      <x:c r="K57" s="19" t="n">
        <x:v>0</x:v>
      </x:c>
      <x:c r="L57" s="17" t="str">
        <x:v>未见（公开摘要）</x:v>
      </x:c>
      <x:c r="M57" s="17" t="str">
        <x:v>BOSS直聘</x:v>
      </x:c>
      <x:c r="N57" s="20" t="n">
        <x:v>46293</x:v>
      </x:c>
      <x:c r="O57" s="22" t="str">
        <x:v>https://www.zhipin.com/zhaopin/105ed5cd1e476b4f1XZ83tm0FQ~~/</x:v>
      </x:c>
    </x:row>
    <x:row r="58" ht="62" customHeight="1">
      <x:c r="A58" s="11" t="str">
        <x:v>057</x:v>
      </x:c>
      <x:c r="B58" s="12" t="str">
        <x:v>商业分析师</x:v>
      </x:c>
      <x:c r="C58" s="12" t="str">
        <x:v>度小满</x:v>
      </x:c>
      <x:c r="D58" s="12" t="str">
        <x:v>金融科技</x:v>
      </x:c>
      <x:c r="E58" s="12" t="str">
        <x:v>北京</x:v>
      </x:c>
      <x:c r="F58" s="13" t="str">
        <x:v>25-50K·16薪</x:v>
      </x:c>
      <x:c r="G58" s="12" t="str">
        <x:v>经验不限</x:v>
      </x:c>
      <x:c r="H58" s="12" t="str">
        <x:v>本科</x:v>
      </x:c>
      <x:c r="I58" s="12" t="str">
        <x:v>信贷分析; 用户分析; 策略分析</x:v>
      </x:c>
      <x:c r="J58" s="12" t="str">
        <x:v>公开JD摘要：研究国际信贷经营结果，定位业务问题和潜在机会。</x:v>
      </x:c>
      <x:c r="K58" s="14" t="n">
        <x:v>0</x:v>
      </x:c>
      <x:c r="L58" s="12" t="str">
        <x:v>未见（公开摘要）</x:v>
      </x:c>
      <x:c r="M58" s="12" t="str">
        <x:v>BOSS直聘</x:v>
      </x:c>
      <x:c r="N58" s="15" t="n">
        <x:v>46293</x:v>
      </x:c>
      <x:c r="O58" s="21" t="str">
        <x:v>https://www.zhipin.com/zhaopin/105ed5cd1e476b4f1XZ83tm0FQ~~/</x:v>
      </x:c>
    </x:row>
    <x:row r="59" ht="62" customHeight="1">
      <x:c r="A59" s="16" t="str">
        <x:v>058</x:v>
      </x:c>
      <x:c r="B59" s="17" t="str">
        <x:v>商业数据分析专家</x:v>
      </x:c>
      <x:c r="C59" s="17" t="str">
        <x:v>广州简卓商贸有限公司</x:v>
      </x:c>
      <x:c r="D59" s="17" t="str">
        <x:v>消费品</x:v>
      </x:c>
      <x:c r="E59" s="17" t="str">
        <x:v>广州</x:v>
      </x:c>
      <x:c r="F59" s="18" t="str">
        <x:v>15-30K</x:v>
      </x:c>
      <x:c r="G59" s="17" t="str">
        <x:v>1-3年</x:v>
      </x:c>
      <x:c r="H59" s="17" t="str">
        <x:v>本科</x:v>
      </x:c>
      <x:c r="I59" s="17" t="str">
        <x:v>商业洞察; 业务分析; 增长策略</x:v>
      </x:c>
      <x:c r="J59" s="17" t="str">
        <x:v>公开JD摘要：从业务数据发现产品及营销机会，形成可执行策略。</x:v>
      </x:c>
      <x:c r="K59" s="19" t="n">
        <x:v>0</x:v>
      </x:c>
      <x:c r="L59" s="17" t="str">
        <x:v>未见（公开摘要）</x:v>
      </x:c>
      <x:c r="M59" s="17" t="str">
        <x:v>BOSS直聘</x:v>
      </x:c>
      <x:c r="N59" s="20" t="n">
        <x:v>46293</x:v>
      </x:c>
      <x:c r="O59" s="22" t="str">
        <x:v>https://www.zhipin.com/zhaopin/08711ec002e4168b1HJ43N67FA~~/</x:v>
      </x:c>
    </x:row>
    <x:row r="60" ht="62" customHeight="1">
      <x:c r="A60" s="11" t="str">
        <x:v>059</x:v>
      </x:c>
      <x:c r="B60" s="12" t="str">
        <x:v>商业数据分析（业务策略方向）</x:v>
      </x:c>
      <x:c r="C60" s="12" t="str">
        <x:v>好太太集团</x:v>
      </x:c>
      <x:c r="D60" s="12" t="str">
        <x:v>制造业</x:v>
      </x:c>
      <x:c r="E60" s="12" t="str">
        <x:v>广州</x:v>
      </x:c>
      <x:c r="F60" s="13" t="str">
        <x:v>10-15K·13薪</x:v>
      </x:c>
      <x:c r="G60" s="12" t="str">
        <x:v>5-10年</x:v>
      </x:c>
      <x:c r="H60" s="12" t="str">
        <x:v>本科</x:v>
      </x:c>
      <x:c r="I60" s="12" t="str">
        <x:v>电商分析; 指标监控; 异常报告</x:v>
      </x:c>
      <x:c r="J60" s="12" t="str">
        <x:v>公开JD摘要：分析电商数据支持营销决策，跟踪并报告指标异常。</x:v>
      </x:c>
      <x:c r="K60" s="14" t="n">
        <x:v>0</x:v>
      </x:c>
      <x:c r="L60" s="12" t="str">
        <x:v>未见（公开摘要）</x:v>
      </x:c>
      <x:c r="M60" s="12" t="str">
        <x:v>BOSS直聘</x:v>
      </x:c>
      <x:c r="N60" s="15" t="n">
        <x:v>46293</x:v>
      </x:c>
      <x:c r="O60" s="21" t="str">
        <x:v>https://www.zhipin.com/zhaopin/08711ec002e4168b1HJ43N67FA~~/</x:v>
      </x:c>
    </x:row>
    <x:row r="61" ht="62" customHeight="1">
      <x:c r="A61" s="16" t="str">
        <x:v>060</x:v>
      </x:c>
      <x:c r="B61" s="17" t="str">
        <x:v>商业分析师(J10951)</x:v>
      </x:c>
      <x:c r="C61" s="17" t="str">
        <x:v>蓝鲲智创</x:v>
      </x:c>
      <x:c r="D61" s="17" t="str">
        <x:v>互联网/科技</x:v>
      </x:c>
      <x:c r="E61" s="17" t="str">
        <x:v>广州</x:v>
      </x:c>
      <x:c r="F61" s="18" t="str">
        <x:v>25-40K·15薪</x:v>
      </x:c>
      <x:c r="G61" s="17" t="str">
        <x:v>3-5年</x:v>
      </x:c>
      <x:c r="H61" s="17" t="str">
        <x:v>本科</x:v>
      </x:c>
      <x:c r="I61" s="17" t="str">
        <x:v>AI产品分析; 风险识别; 增长策略</x:v>
      </x:c>
      <x:c r="J61" s="17" t="str">
        <x:v>公开JD摘要：分析AI工具产品，识别增长空间和业务风险并支持迭代。</x:v>
      </x:c>
      <x:c r="K61" s="19" t="n">
        <x:v>1</x:v>
      </x:c>
      <x:c r="L61" s="17" t="str">
        <x:v>AI</x:v>
      </x:c>
      <x:c r="M61" s="17" t="str">
        <x:v>BOSS直聘</x:v>
      </x:c>
      <x:c r="N61" s="20" t="n">
        <x:v>46293</x:v>
      </x:c>
      <x:c r="O61" s="22" t="str">
        <x:v>https://www.zhipin.com/zhaopin/08711ec002e4168b1HJ43N67FA~~/</x:v>
      </x:c>
    </x:row>
    <x:row r="62" ht="62" customHeight="1">
      <x:c r="A62" s="11" t="str">
        <x:v>061</x:v>
      </x:c>
      <x:c r="B62" s="12" t="str">
        <x:v>bi分析师</x:v>
      </x:c>
      <x:c r="C62" s="12" t="str">
        <x:v>杭州哈尼牧场品牌管理</x:v>
      </x:c>
      <x:c r="D62" s="12" t="str">
        <x:v>消费品</x:v>
      </x:c>
      <x:c r="E62" s="12" t="str">
        <x:v>杭州</x:v>
      </x:c>
      <x:c r="F62" s="13" t="str">
        <x:v>12-15K</x:v>
      </x:c>
      <x:c r="G62" s="12" t="str">
        <x:v>1-3年</x:v>
      </x:c>
      <x:c r="H62" s="12" t="str">
        <x:v>本科</x:v>
      </x:c>
      <x:c r="I62" s="12" t="str">
        <x:v>Python; RPA; 数据采集; 数据清洗</x:v>
      </x:c>
      <x:c r="J62" s="12" t="str">
        <x:v>公开JD摘要：用Python及RPA汇集电商数据，维护数据库并清理数据。</x:v>
      </x:c>
      <x:c r="K62" s="14" t="n">
        <x:v>0</x:v>
      </x:c>
      <x:c r="L62" s="12" t="str">
        <x:v>未见（公开摘要）</x:v>
      </x:c>
      <x:c r="M62" s="12" t="str">
        <x:v>BOSS直聘</x:v>
      </x:c>
      <x:c r="N62" s="15" t="n">
        <x:v>46293</x:v>
      </x:c>
      <x:c r="O62" s="21" t="str">
        <x:v>https://www.zhipin.com/zhaopin/0ef7e284469fa3d01Xdy2du9/</x:v>
      </x:c>
    </x:row>
    <x:row r="63" ht="62" customHeight="1">
      <x:c r="A63" s="16" t="str">
        <x:v>062</x:v>
      </x:c>
      <x:c r="B63" s="17" t="str">
        <x:v>高德-BI分析师-AI方向</x:v>
      </x:c>
      <x:c r="C63" s="17" t="str">
        <x:v>高德地图</x:v>
      </x:c>
      <x:c r="D63" s="17" t="str">
        <x:v>互联网/科技</x:v>
      </x:c>
      <x:c r="E63" s="17" t="str">
        <x:v>北京</x:v>
      </x:c>
      <x:c r="F63" s="18" t="str">
        <x:v>25-45K·16薪</x:v>
      </x:c>
      <x:c r="G63" s="17" t="str">
        <x:v>5-10年</x:v>
      </x:c>
      <x:c r="H63" s="17" t="str">
        <x:v>本科</x:v>
      </x:c>
      <x:c r="I63" s="17" t="str">
        <x:v>商业模式研究; 增长分析; 策略规划</x:v>
      </x:c>
      <x:c r="J63" s="17" t="str">
        <x:v>公开JD摘要：围绕用户增长及AI方向研究业务模式，支持策略制定。</x:v>
      </x:c>
      <x:c r="K63" s="19" t="n">
        <x:v>1</x:v>
      </x:c>
      <x:c r="L63" s="17" t="str">
        <x:v>AI</x:v>
      </x:c>
      <x:c r="M63" s="17" t="str">
        <x:v>BOSS直聘</x:v>
      </x:c>
      <x:c r="N63" s="20" t="n">
        <x:v>46293</x:v>
      </x:c>
      <x:c r="O63" s="22" t="str">
        <x:v>https://www.zhipin.com/zhaopin/0ef7e284469fa3d01Xdy2du9/</x:v>
      </x:c>
    </x:row>
    <x:row r="64" ht="62" customHeight="1">
      <x:c r="A64" s="11" t="str">
        <x:v>063</x:v>
      </x:c>
      <x:c r="B64" s="12" t="str">
        <x:v>BI高级数据分析师</x:v>
      </x:c>
      <x:c r="C64" s="12" t="str">
        <x:v>海雅</x:v>
      </x:c>
      <x:c r="D64" s="12" t="str">
        <x:v>消费品</x:v>
      </x:c>
      <x:c r="E64" s="12" t="str">
        <x:v>广州</x:v>
      </x:c>
      <x:c r="F64" s="13" t="str">
        <x:v>12-18K</x:v>
      </x:c>
      <x:c r="G64" s="12" t="str">
        <x:v>3-5年</x:v>
      </x:c>
      <x:c r="H64" s="12" t="str">
        <x:v>本科</x:v>
      </x:c>
      <x:c r="I64" s="12" t="str">
        <x:v>需求分析; 指标设计; 数据洞察</x:v>
      </x:c>
      <x:c r="J64" s="12" t="str">
        <x:v>公开JD摘要：设计业务核心指标和分析方案，识别改进机会。</x:v>
      </x:c>
      <x:c r="K64" s="14" t="n">
        <x:v>0</x:v>
      </x:c>
      <x:c r="L64" s="12" t="str">
        <x:v>未见（公开摘要）</x:v>
      </x:c>
      <x:c r="M64" s="12" t="str">
        <x:v>BOSS直聘</x:v>
      </x:c>
      <x:c r="N64" s="15" t="n">
        <x:v>46293</x:v>
      </x:c>
      <x:c r="O64" s="21" t="str">
        <x:v>https://www.zhipin.com/zhaopin/0ef7e284469fa3d01Xdy2du9/</x:v>
      </x:c>
    </x:row>
    <x:row r="65" ht="62" customHeight="1">
      <x:c r="A65" s="16" t="str">
        <x:v>064</x:v>
      </x:c>
      <x:c r="B65" s="17" t="str">
        <x:v>BI数据分析师</x:v>
      </x:c>
      <x:c r="C65" s="17" t="str">
        <x:v>佑美科技</x:v>
      </x:c>
      <x:c r="D65" s="17" t="str">
        <x:v>电子商务</x:v>
      </x:c>
      <x:c r="E65" s="17" t="str">
        <x:v>杭州</x:v>
      </x:c>
      <x:c r="F65" s="18" t="str">
        <x:v>12-16K</x:v>
      </x:c>
      <x:c r="G65" s="17" t="str">
        <x:v>3-5年</x:v>
      </x:c>
      <x:c r="H65" s="17" t="str">
        <x:v>本科</x:v>
      </x:c>
      <x:c r="I65" s="17" t="str">
        <x:v>指标监控; 异动分析; 经营报表</x:v>
      </x:c>
      <x:c r="J65" s="17" t="str">
        <x:v>公开JD摘要：监控店铺流量、转化和利润，解释指标变化。</x:v>
      </x:c>
      <x:c r="K65" s="19" t="n">
        <x:v>0</x:v>
      </x:c>
      <x:c r="L65" s="17" t="str">
        <x:v>未见（公开摘要）</x:v>
      </x:c>
      <x:c r="M65" s="17" t="str">
        <x:v>BOSS直聘</x:v>
      </x:c>
      <x:c r="N65" s="20" t="n">
        <x:v>46293</x:v>
      </x:c>
      <x:c r="O65" s="22" t="str">
        <x:v>https://www.zhipin.com/zhaopin/0ef7e284469fa3d01Xdy2du9/</x:v>
      </x:c>
    </x:row>
    <x:row r="66" ht="62" customHeight="1">
      <x:c r="A66" s="11" t="str">
        <x:v>065</x:v>
      </x:c>
      <x:c r="B66" s="12" t="str">
        <x:v>数据分析师/BI工程师/数据运营</x:v>
      </x:c>
      <x:c r="C66" s="12" t="str">
        <x:v>美通供应链</x:v>
      </x:c>
      <x:c r="D66" s="12" t="str">
        <x:v>物流</x:v>
      </x:c>
      <x:c r="E66" s="12" t="str">
        <x:v>深圳</x:v>
      </x:c>
      <x:c r="F66" s="13" t="str">
        <x:v>13-20K·13薪</x:v>
      </x:c>
      <x:c r="G66" s="12" t="str">
        <x:v>5-10年</x:v>
      </x:c>
      <x:c r="H66" s="12" t="str">
        <x:v>本科</x:v>
      </x:c>
      <x:c r="I66" s="12" t="str">
        <x:v>数据整合; 数据仓库; 报表规范</x:v>
      </x:c>
      <x:c r="J66" s="12" t="str">
        <x:v>公开JD摘要：整合海外仓物流数据，维护数据仓库和标准化报表。</x:v>
      </x:c>
      <x:c r="K66" s="14" t="n">
        <x:v>0</x:v>
      </x:c>
      <x:c r="L66" s="12" t="str">
        <x:v>未见（公开摘要）</x:v>
      </x:c>
      <x:c r="M66" s="12" t="str">
        <x:v>BOSS直聘</x:v>
      </x:c>
      <x:c r="N66" s="15" t="n">
        <x:v>46293</x:v>
      </x:c>
      <x:c r="O66" s="21" t="str">
        <x:v>https://www.zhipin.com/zhaopin/60e4abe69a8ec5d01HB409y6FQ~~/</x:v>
      </x:c>
    </x:row>
    <x:row r="67" ht="62" customHeight="1">
      <x:c r="A67" s="16" t="str">
        <x:v>066</x:v>
      </x:c>
      <x:c r="B67" s="17" t="str">
        <x:v>高级bi数据分析师-供应链&amp;财务中台</x:v>
      </x:c>
      <x:c r="C67" s="17" t="str">
        <x:v>深圳市致远科技</x:v>
      </x:c>
      <x:c r="D67" s="17" t="str">
        <x:v>互联网/科技</x:v>
      </x:c>
      <x:c r="E67" s="17" t="str">
        <x:v>深圳</x:v>
      </x:c>
      <x:c r="F67" s="18" t="str">
        <x:v>12-20K·13薪</x:v>
      </x:c>
      <x:c r="G67" s="17" t="str">
        <x:v>3-5年</x:v>
      </x:c>
      <x:c r="H67" s="17" t="str">
        <x:v>本科</x:v>
      </x:c>
      <x:c r="I67" s="17" t="str">
        <x:v>BI; 数据治理; 供应链数据</x:v>
      </x:c>
      <x:c r="J67" s="17" t="str">
        <x:v>公开JD摘要：规划BI与数据治理，贯通供应链、订单和财务数据。</x:v>
      </x:c>
      <x:c r="K67" s="19" t="n">
        <x:v>0</x:v>
      </x:c>
      <x:c r="L67" s="17" t="str">
        <x:v>未见（公开摘要）</x:v>
      </x:c>
      <x:c r="M67" s="17" t="str">
        <x:v>BOSS直聘</x:v>
      </x:c>
      <x:c r="N67" s="20" t="n">
        <x:v>46293</x:v>
      </x:c>
      <x:c r="O67" s="22" t="str">
        <x:v>https://www.zhipin.com/zhaopin/60e4abe69a8ec5d01HB409y6FQ~~/</x:v>
      </x:c>
    </x:row>
    <x:row r="68" ht="62" customHeight="1">
      <x:c r="A68" s="11" t="str">
        <x:v>067</x:v>
      </x:c>
      <x:c r="B68" s="12" t="str">
        <x:v>BI需求分析师/产品经理</x:v>
      </x:c>
      <x:c r="C68" s="12" t="str">
        <x:v>华为</x:v>
      </x:c>
      <x:c r="D68" s="12" t="str">
        <x:v>互联网/科技</x:v>
      </x:c>
      <x:c r="E68" s="12" t="str">
        <x:v>深圳</x:v>
      </x:c>
      <x:c r="F68" s="13" t="str">
        <x:v>30-50K·14薪</x:v>
      </x:c>
      <x:c r="G68" s="12" t="str">
        <x:v>5-10年</x:v>
      </x:c>
      <x:c r="H68" s="12" t="str">
        <x:v>本科</x:v>
      </x:c>
      <x:c r="I68" s="12" t="str">
        <x:v>BI产品; 需求分析; 数据仓库</x:v>
      </x:c>
      <x:c r="J68" s="12" t="str">
        <x:v>公开JD摘要：规划BI产品及发展路线，分析数据仓库和业务需求。</x:v>
      </x:c>
      <x:c r="K68" s="14" t="n">
        <x:v>0</x:v>
      </x:c>
      <x:c r="L68" s="12" t="str">
        <x:v>未见（公开摘要）</x:v>
      </x:c>
      <x:c r="M68" s="12" t="str">
        <x:v>BOSS直聘</x:v>
      </x:c>
      <x:c r="N68" s="15" t="n">
        <x:v>46293</x:v>
      </x:c>
      <x:c r="O68" s="21" t="str">
        <x:v>https://www.zhipin.com/zhaopin/60e4abe69a8ec5d01HB409y6FQ~~/</x:v>
      </x:c>
    </x:row>
    <x:row r="69" ht="62" customHeight="1">
      <x:c r="A69" s="16" t="str">
        <x:v>068</x:v>
      </x:c>
      <x:c r="B69" s="17" t="str">
        <x:v>数据分析师</x:v>
      </x:c>
      <x:c r="C69" s="17" t="str">
        <x:v>睿思集创</x:v>
      </x:c>
      <x:c r="D69" s="17" t="str">
        <x:v>电子商务</x:v>
      </x:c>
      <x:c r="E69" s="17" t="str">
        <x:v>深圳</x:v>
      </x:c>
      <x:c r="F69" s="18" t="str">
        <x:v>10-15K</x:v>
      </x:c>
      <x:c r="G69" s="17" t="str">
        <x:v>经验不限</x:v>
      </x:c>
      <x:c r="H69" s="17" t="str">
        <x:v>本科</x:v>
      </x:c>
      <x:c r="I69" s="17" t="str">
        <x:v>Power BI; SQL; 财务建模</x:v>
      </x:c>
      <x:c r="J69" s="17" t="str">
        <x:v>公开JD摘要：以Power BI构建财务模型及看板，要求掌握SQL。</x:v>
      </x:c>
      <x:c r="K69" s="19" t="n">
        <x:v>0</x:v>
      </x:c>
      <x:c r="L69" s="17" t="str">
        <x:v>未见（公开摘要）</x:v>
      </x:c>
      <x:c r="M69" s="17" t="str">
        <x:v>BOSS直聘</x:v>
      </x:c>
      <x:c r="N69" s="20" t="n">
        <x:v>46293</x:v>
      </x:c>
      <x:c r="O69" s="22" t="str">
        <x:v>https://www.zhipin.com/zhaopin/60e4abe69a8ec5d01HB409y6FQ~~/</x:v>
      </x:c>
    </x:row>
    <x:row r="70" ht="62" customHeight="1">
      <x:c r="A70" s="11" t="str">
        <x:v>069</x:v>
      </x:c>
      <x:c r="B70" s="12" t="str">
        <x:v>商业智能分析师</x:v>
      </x:c>
      <x:c r="C70" s="12" t="str">
        <x:v>比地数据</x:v>
      </x:c>
      <x:c r="D70" s="12" t="str">
        <x:v>互联网/科技</x:v>
      </x:c>
      <x:c r="E70" s="12" t="str">
        <x:v>广州</x:v>
      </x:c>
      <x:c r="F70" s="13" t="str">
        <x:v>10-15K</x:v>
      </x:c>
      <x:c r="G70" s="12" t="str">
        <x:v>3-5年</x:v>
      </x:c>
      <x:c r="H70" s="12" t="str">
        <x:v>本科</x:v>
      </x:c>
      <x:c r="I70" s="12" t="str">
        <x:v>数据建模; 商业智能; 风险评估</x:v>
      </x:c>
      <x:c r="J70" s="12" t="str">
        <x:v>公开JD摘要：要求具有商业智能项目经验，掌握建模并了解风险评估。</x:v>
      </x:c>
      <x:c r="K70" s="14" t="n">
        <x:v>0</x:v>
      </x:c>
      <x:c r="L70" s="12" t="str">
        <x:v>未见（公开摘要）</x:v>
      </x:c>
      <x:c r="M70" s="12" t="str">
        <x:v>BOSS直聘</x:v>
      </x:c>
      <x:c r="N70" s="15" t="n">
        <x:v>46293</x:v>
      </x:c>
      <x:c r="O70" s="21" t="str">
        <x:v>https://www.zhipin.com/zhaopin/bb431782f1c84e1803R42tu_GA~~/</x:v>
      </x:c>
    </x:row>
    <x:row r="71" ht="62" customHeight="1">
      <x:c r="A71" s="16" t="str">
        <x:v>070</x:v>
      </x:c>
      <x:c r="B71" s="17" t="str">
        <x:v>商业智能分析师/财务分析师</x:v>
      </x:c>
      <x:c r="C71" s="17" t="str">
        <x:v>良策按揭</x:v>
      </x:c>
      <x:c r="D71" s="17" t="str">
        <x:v>金融科技</x:v>
      </x:c>
      <x:c r="E71" s="17" t="str">
        <x:v>广州</x:v>
      </x:c>
      <x:c r="F71" s="18" t="str">
        <x:v>6-10K</x:v>
      </x:c>
      <x:c r="G71" s="17" t="str">
        <x:v>1-3年</x:v>
      </x:c>
      <x:c r="H71" s="17" t="str">
        <x:v>大专</x:v>
      </x:c>
      <x:c r="I71" s="17" t="str">
        <x:v>报表设计; 指标口径; 数据核对</x:v>
      </x:c>
      <x:c r="J71" s="17" t="str">
        <x:v>公开JD摘要：对接业务报表需求，核对结果并跟进数据问题。</x:v>
      </x:c>
      <x:c r="K71" s="19" t="n">
        <x:v>0</x:v>
      </x:c>
      <x:c r="L71" s="17" t="str">
        <x:v>未见（公开摘要）</x:v>
      </x:c>
      <x:c r="M71" s="17" t="str">
        <x:v>BOSS直聘</x:v>
      </x:c>
      <x:c r="N71" s="20" t="n">
        <x:v>46293</x:v>
      </x:c>
      <x:c r="O71" s="22" t="str">
        <x:v>https://www.zhipin.com/zhaopin/bb431782f1c84e1803R42tu_GA~~/</x:v>
      </x:c>
    </x:row>
    <x:row r="72" ht="62" customHeight="1">
      <x:c r="A72" s="11" t="str">
        <x:v>071</x:v>
      </x:c>
      <x:c r="B72" s="12" t="str">
        <x:v>广州-Power BI数据分析师</x:v>
      </x:c>
      <x:c r="C72" s="12" t="str">
        <x:v>敏捷艾科</x:v>
      </x:c>
      <x:c r="D72" s="12" t="str">
        <x:v>互联网/科技</x:v>
      </x:c>
      <x:c r="E72" s="12" t="str">
        <x:v>广州</x:v>
      </x:c>
      <x:c r="F72" s="13" t="str">
        <x:v>9-13K·13薪</x:v>
      </x:c>
      <x:c r="G72" s="12" t="str">
        <x:v>3-5年</x:v>
      </x:c>
      <x:c r="H72" s="12" t="str">
        <x:v>本科</x:v>
      </x:c>
      <x:c r="I72" s="12" t="str">
        <x:v>Power BI; 需求分析; 业务沟通</x:v>
      </x:c>
      <x:c r="J72" s="12" t="str">
        <x:v>公开JD摘要：梳理客户分析场景与需求，使用Power BI支持数据项目。</x:v>
      </x:c>
      <x:c r="K72" s="14" t="n">
        <x:v>0</x:v>
      </x:c>
      <x:c r="L72" s="12" t="str">
        <x:v>未见（公开摘要）</x:v>
      </x:c>
      <x:c r="M72" s="12" t="str">
        <x:v>BOSS直聘</x:v>
      </x:c>
      <x:c r="N72" s="15" t="n">
        <x:v>46293</x:v>
      </x:c>
      <x:c r="O72" s="21" t="str">
        <x:v>https://www.zhipin.com/zhaopin/bb431782f1c84e1803R42tu_GA~~/</x:v>
      </x:c>
    </x:row>
    <x:row r="73" ht="62" customHeight="1">
      <x:c r="A73" s="16" t="str">
        <x:v>072</x:v>
      </x:c>
      <x:c r="B73" s="17" t="str">
        <x:v>BI数据分析师</x:v>
      </x:c>
      <x:c r="C73" s="17" t="str">
        <x:v>Castbox</x:v>
      </x:c>
      <x:c r="D73" s="17" t="str">
        <x:v>互联网/科技</x:v>
      </x:c>
      <x:c r="E73" s="17" t="str">
        <x:v>北京</x:v>
      </x:c>
      <x:c r="F73" s="18" t="str">
        <x:v>20-35K·15薪</x:v>
      </x:c>
      <x:c r="G73" s="17" t="str">
        <x:v>3-5年</x:v>
      </x:c>
      <x:c r="H73" s="17" t="str">
        <x:v>本科</x:v>
      </x:c>
      <x:c r="I73" s="17" t="str">
        <x:v>数据中台; 埋点设计; 项目验收</x:v>
      </x:c>
      <x:c r="J73" s="17" t="str">
        <x:v>公开JD摘要：参与数据中台建设，设计并交付项目埋点规范。</x:v>
      </x:c>
      <x:c r="K73" s="19" t="n">
        <x:v>0</x:v>
      </x:c>
      <x:c r="L73" s="17" t="str">
        <x:v>未见（公开摘要）</x:v>
      </x:c>
      <x:c r="M73" s="17" t="str">
        <x:v>BOSS直聘</x:v>
      </x:c>
      <x:c r="N73" s="20" t="n">
        <x:v>46293</x:v>
      </x:c>
      <x:c r="O73" s="22" t="str">
        <x:v>https://www.zhipin.com/zhaopin/7b4b5e60058a1c3803Z529W7FQ~~/</x:v>
      </x:c>
    </x:row>
    <x:row r="74" ht="62" customHeight="1">
      <x:c r="A74" s="11" t="str">
        <x:v>073</x:v>
      </x:c>
      <x:c r="B74" s="12" t="str">
        <x:v>数据分析师(BI分析师)</x:v>
      </x:c>
      <x:c r="C74" s="12" t="str">
        <x:v>携程集团</x:v>
      </x:c>
      <x:c r="D74" s="12" t="str">
        <x:v>互联网/科技</x:v>
      </x:c>
      <x:c r="E74" s="12" t="str">
        <x:v>北京</x:v>
      </x:c>
      <x:c r="F74" s="13" t="str">
        <x:v>23-45K·15薪</x:v>
      </x:c>
      <x:c r="G74" s="12" t="str">
        <x:v>3-5年</x:v>
      </x:c>
      <x:c r="H74" s="12" t="str">
        <x:v>本科</x:v>
      </x:c>
      <x:c r="I74" s="12" t="str">
        <x:v>埋点设计; 数据集市; 看板搭建</x:v>
      </x:c>
      <x:c r="J74" s="12" t="str">
        <x:v>公开JD摘要：支持消费金融团队的数据需求，建设埋点、数据集市及看板。</x:v>
      </x:c>
      <x:c r="K74" s="14" t="n">
        <x:v>0</x:v>
      </x:c>
      <x:c r="L74" s="12" t="str">
        <x:v>未见（公开摘要）</x:v>
      </x:c>
      <x:c r="M74" s="12" t="str">
        <x:v>BOSS直聘</x:v>
      </x:c>
      <x:c r="N74" s="15" t="n">
        <x:v>46293</x:v>
      </x:c>
      <x:c r="O74" s="21" t="str">
        <x:v>https://www.zhipin.com/zhaopin/7b4b5e60058a1c3803Z529W7FQ~~/</x:v>
      </x:c>
    </x:row>
    <x:row r="75" ht="62" customHeight="1">
      <x:c r="A75" s="16" t="str">
        <x:v>074</x:v>
      </x:c>
      <x:c r="B75" s="17" t="str">
        <x:v>数据分析专家（财务BI）</x:v>
      </x:c>
      <x:c r="C75" s="17" t="str">
        <x:v>远光软件</x:v>
      </x:c>
      <x:c r="D75" s="17" t="str">
        <x:v>互联网/科技</x:v>
      </x:c>
      <x:c r="E75" s="17" t="str">
        <x:v>北京</x:v>
      </x:c>
      <x:c r="F75" s="18" t="str">
        <x:v>30-50K</x:v>
      </x:c>
      <x:c r="G75" s="17" t="str">
        <x:v>10年以上</x:v>
      </x:c>
      <x:c r="H75" s="17" t="str">
        <x:v>本科</x:v>
      </x:c>
      <x:c r="I75" s="17" t="str">
        <x:v>业务洞察; 数据分析; 项目管理</x:v>
      </x:c>
      <x:c r="J75" s="17" t="str">
        <x:v>公开JD摘要：依托数据中台支持集团分析，组织数据业务项目实施。</x:v>
      </x:c>
      <x:c r="K75" s="19" t="n">
        <x:v>0</x:v>
      </x:c>
      <x:c r="L75" s="17" t="str">
        <x:v>未见（公开摘要）</x:v>
      </x:c>
      <x:c r="M75" s="17" t="str">
        <x:v>BOSS直聘</x:v>
      </x:c>
      <x:c r="N75" s="20" t="n">
        <x:v>46293</x:v>
      </x:c>
      <x:c r="O75" s="22" t="str">
        <x:v>https://www.zhipin.com/zhaopin/7b4b5e60058a1c3803Z529W7FQ~~/</x:v>
      </x:c>
    </x:row>
    <x:row r="76" ht="62" customHeight="1">
      <x:c r="A76" s="11" t="str">
        <x:v>075</x:v>
      </x:c>
      <x:c r="B76" s="12" t="str">
        <x:v>BI工程师（数据分析师）</x:v>
      </x:c>
      <x:c r="C76" s="12" t="str">
        <x:v>江苏达科</x:v>
      </x:c>
      <x:c r="D76" s="12" t="str">
        <x:v>制造业</x:v>
      </x:c>
      <x:c r="E76" s="12" t="str">
        <x:v>北京</x:v>
      </x:c>
      <x:c r="F76" s="13" t="str">
        <x:v>13-14K</x:v>
      </x:c>
      <x:c r="G76" s="12" t="str">
        <x:v>10年以上</x:v>
      </x:c>
      <x:c r="H76" s="12" t="str">
        <x:v>本科</x:v>
      </x:c>
      <x:c r="I76" s="12" t="str">
        <x:v>数据可视化; 需求沟通; 数据开发</x:v>
      </x:c>
      <x:c r="J76" s="12" t="str">
        <x:v>公开JD摘要：将业务问题转为可视化方案，提供定制分析服务。</x:v>
      </x:c>
      <x:c r="K76" s="14" t="n">
        <x:v>0</x:v>
      </x:c>
      <x:c r="L76" s="12" t="str">
        <x:v>未见（公开摘要）</x:v>
      </x:c>
      <x:c r="M76" s="12" t="str">
        <x:v>BOSS直聘</x:v>
      </x:c>
      <x:c r="N76" s="15" t="n">
        <x:v>46293</x:v>
      </x:c>
      <x:c r="O76" s="21" t="str">
        <x:v>https://www.zhipin.com/zhaopin/7b4b5e60058a1c3803Z529W7FQ~~/</x:v>
      </x:c>
    </x:row>
    <x:row r="77" ht="62" customHeight="1">
      <x:c r="A77" s="16" t="str">
        <x:v>076</x:v>
      </x:c>
      <x:c r="B77" s="17" t="str">
        <x:v>电商数据分析师（BI方向）</x:v>
      </x:c>
      <x:c r="C77" s="17" t="str">
        <x:v>古星电子商务</x:v>
      </x:c>
      <x:c r="D77" s="17" t="str">
        <x:v>电子商务</x:v>
      </x:c>
      <x:c r="E77" s="17" t="str">
        <x:v>上海</x:v>
      </x:c>
      <x:c r="F77" s="18" t="str">
        <x:v>9-10K</x:v>
      </x:c>
      <x:c r="G77" s="17" t="str">
        <x:v>1-3年</x:v>
      </x:c>
      <x:c r="H77" s="17" t="str">
        <x:v>大专</x:v>
      </x:c>
      <x:c r="I77" s="17" t="str">
        <x:v>生意参谋; 数据银行; 转化分析</x:v>
      </x:c>
      <x:c r="J77" s="17" t="str">
        <x:v>公开JD摘要：整理店铺平台数据，分析访问、销售与用户转化。</x:v>
      </x:c>
      <x:c r="K77" s="19" t="n">
        <x:v>0</x:v>
      </x:c>
      <x:c r="L77" s="17" t="str">
        <x:v>未见（公开摘要）</x:v>
      </x:c>
      <x:c r="M77" s="17" t="str">
        <x:v>BOSS直聘</x:v>
      </x:c>
      <x:c r="N77" s="20" t="n">
        <x:v>46293</x:v>
      </x:c>
      <x:c r="O77" s="22" t="str">
        <x:v>https://www.zhipin.com/zhaopin/8813dfa7835dea7803x42tq8Fg~~/</x:v>
      </x:c>
    </x:row>
    <x:row r="78" ht="62" customHeight="1">
      <x:c r="A78" s="11" t="str">
        <x:v>077</x:v>
      </x:c>
      <x:c r="B78" s="12" t="str">
        <x:v>数据分析BI-物流方向(LOG)</x:v>
      </x:c>
      <x:c r="C78" s="12" t="str">
        <x:v>拼多多集团-PDD</x:v>
      </x:c>
      <x:c r="D78" s="12" t="str">
        <x:v>互联网/科技</x:v>
      </x:c>
      <x:c r="E78" s="12" t="str">
        <x:v>上海</x:v>
      </x:c>
      <x:c r="F78" s="13" t="str">
        <x:v>25-50K·16薪</x:v>
      </x:c>
      <x:c r="G78" s="12" t="str">
        <x:v>经验不限</x:v>
      </x:c>
      <x:c r="H78" s="12" t="str">
        <x:v>本科</x:v>
      </x:c>
      <x:c r="I78" s="12" t="str">
        <x:v>数据建模; 数据清洗; 行为分析</x:v>
      </x:c>
      <x:c r="J78" s="12" t="str">
        <x:v>公开JD摘要：建设物流业务数据模型，进行数据支持与风险监控。</x:v>
      </x:c>
      <x:c r="K78" s="14" t="n">
        <x:v>0</x:v>
      </x:c>
      <x:c r="L78" s="12" t="str">
        <x:v>未见（公开摘要）</x:v>
      </x:c>
      <x:c r="M78" s="12" t="str">
        <x:v>BOSS直聘</x:v>
      </x:c>
      <x:c r="N78" s="15" t="n">
        <x:v>46293</x:v>
      </x:c>
      <x:c r="O78" s="21" t="str">
        <x:v>https://www.zhipin.com/zhaopin/8813dfa7835dea7803x42tq8Fg~~/</x:v>
      </x:c>
    </x:row>
    <x:row r="79" ht="62" customHeight="1">
      <x:c r="A79" s="16" t="str">
        <x:v>078</x:v>
      </x:c>
      <x:c r="B79" s="17" t="str">
        <x:v>数据分析师 BI（XBK）</x:v>
      </x:c>
      <x:c r="C79" s="17" t="str">
        <x:v>食亨</x:v>
      </x:c>
      <x:c r="D79" s="17" t="str">
        <x:v>电子商务</x:v>
      </x:c>
      <x:c r="E79" s="17" t="str">
        <x:v>上海</x:v>
      </x:c>
      <x:c r="F79" s="18" t="str">
        <x:v>14-16K</x:v>
      </x:c>
      <x:c r="G79" s="17" t="str">
        <x:v>3-5年</x:v>
      </x:c>
      <x:c r="H79" s="17" t="str">
        <x:v>本科</x:v>
      </x:c>
      <x:c r="I79" s="17" t="str">
        <x:v>SQL; 数据清洗; 数据看板</x:v>
      </x:c>
      <x:c r="J79" s="17" t="str">
        <x:v>公开JD摘要：用SQL整合业务数据，持续跟踪GMV与客单价。</x:v>
      </x:c>
      <x:c r="K79" s="19" t="n">
        <x:v>0</x:v>
      </x:c>
      <x:c r="L79" s="17" t="str">
        <x:v>未见（公开摘要）</x:v>
      </x:c>
      <x:c r="M79" s="17" t="str">
        <x:v>BOSS直聘</x:v>
      </x:c>
      <x:c r="N79" s="20" t="n">
        <x:v>46293</x:v>
      </x:c>
      <x:c r="O79" s="22" t="str">
        <x:v>https://www.zhipin.com/zhaopin/8813dfa7835dea7803x42tq8Fg~~/</x:v>
      </x:c>
    </x:row>
    <x:row r="80" ht="62" customHeight="1">
      <x:c r="A80" s="11" t="str">
        <x:v>079</x:v>
      </x:c>
      <x:c r="B80" s="12" t="str">
        <x:v>大数据开发BI工程师</x:v>
      </x:c>
      <x:c r="C80" s="12" t="str">
        <x:v>中广资本</x:v>
      </x:c>
      <x:c r="D80" s="12" t="str">
        <x:v>金融科技</x:v>
      </x:c>
      <x:c r="E80" s="12" t="str">
        <x:v>上海</x:v>
      </x:c>
      <x:c r="F80" s="13" t="str">
        <x:v>12-20K</x:v>
      </x:c>
      <x:c r="G80" s="12" t="str">
        <x:v>3-5年</x:v>
      </x:c>
      <x:c r="H80" s="12" t="str">
        <x:v>本科</x:v>
      </x:c>
      <x:c r="I80" s="12" t="str">
        <x:v>数据建模; 报表开发; 需求分析</x:v>
      </x:c>
      <x:c r="J80" s="12" t="str">
        <x:v>公开JD摘要：建立产品分析框架，开发数据及报表以支持业务需求。</x:v>
      </x:c>
      <x:c r="K80" s="14" t="n">
        <x:v>0</x:v>
      </x:c>
      <x:c r="L80" s="12" t="str">
        <x:v>未见（公开摘要）</x:v>
      </x:c>
      <x:c r="M80" s="12" t="str">
        <x:v>BOSS直聘</x:v>
      </x:c>
      <x:c r="N80" s="15" t="n">
        <x:v>46293</x:v>
      </x:c>
      <x:c r="O80" s="21" t="str">
        <x:v>https://www.zhipin.com/zhaopin/8813dfa7835dea7803x42tq8Fg~~/</x:v>
      </x:c>
    </x:row>
    <x:row r="81" ht="62" customHeight="1">
      <x:c r="A81" s="16" t="str">
        <x:v>080</x:v>
      </x:c>
      <x:c r="B81" s="17" t="str">
        <x:v>bi报表开发工程师</x:v>
      </x:c>
      <x:c r="C81" s="17" t="str">
        <x:v>上海亿烨</x:v>
      </x:c>
      <x:c r="D81" s="17" t="str">
        <x:v>人工智能</x:v>
      </x:c>
      <x:c r="E81" s="17" t="str">
        <x:v>上海</x:v>
      </x:c>
      <x:c r="F81" s="18" t="str">
        <x:v>10-15K</x:v>
      </x:c>
      <x:c r="G81" s="17" t="str">
        <x:v>3-5年</x:v>
      </x:c>
      <x:c r="H81" s="17" t="str">
        <x:v>本科</x:v>
      </x:c>
      <x:c r="I81" s="17" t="str">
        <x:v>永洪BI; 报表开发; 性能优化</x:v>
      </x:c>
      <x:c r="J81" s="17" t="str">
        <x:v>公开JD摘要：开发及维护永洪报表与看板，分析系统性能并对接业务。</x:v>
      </x:c>
      <x:c r="K81" s="19" t="n">
        <x:v>0</x:v>
      </x:c>
      <x:c r="L81" s="17" t="str">
        <x:v>未见（公开摘要）</x:v>
      </x:c>
      <x:c r="M81" s="17" t="str">
        <x:v>BOSS直聘</x:v>
      </x:c>
      <x:c r="N81" s="20" t="n">
        <x:v>46293</x:v>
      </x:c>
      <x:c r="O81" s="22" t="str">
        <x:v>https://www.zhipin.com/zhaopin/a47ce0057880d0bd1nF72Nu4Eg~~/</x:v>
      </x:c>
    </x:row>
    <x:row r="82" ht="62" customHeight="1">
      <x:c r="A82" s="11" t="str">
        <x:v>081</x:v>
      </x:c>
      <x:c r="B82" s="12" t="str">
        <x:v>经营分析专家</x:v>
      </x:c>
      <x:c r="C82" s="12" t="str">
        <x:v>MINISO</x:v>
      </x:c>
      <x:c r="D82" s="12" t="str">
        <x:v>消费品</x:v>
      </x:c>
      <x:c r="E82" s="12" t="str">
        <x:v>广州</x:v>
      </x:c>
      <x:c r="F82" s="13" t="str">
        <x:v>20-30K</x:v>
      </x:c>
      <x:c r="G82" s="12" t="str">
        <x:v>1-3年</x:v>
      </x:c>
      <x:c r="H82" s="12" t="str">
        <x:v>本科</x:v>
      </x:c>
      <x:c r="I82" s="12" t="str">
        <x:v>战略规划; 经营指标; 成本监控</x:v>
      </x:c>
      <x:c r="J82" s="12" t="str">
        <x:v>公开JD摘要：为经营计划提供建议，跟踪门店、IP收入及供应链成本。</x:v>
      </x:c>
      <x:c r="K82" s="14" t="n">
        <x:v>0</x:v>
      </x:c>
      <x:c r="L82" s="12" t="str">
        <x:v>未见（公开摘要）</x:v>
      </x:c>
      <x:c r="M82" s="12" t="str">
        <x:v>BOSS直聘</x:v>
      </x:c>
      <x:c r="N82" s="15" t="n">
        <x:v>46293</x:v>
      </x:c>
      <x:c r="O82" s="21" t="str">
        <x:v>https://www.zhipin.com/zhaopin/06d508b8477975400nF629i1Fw~~/</x:v>
      </x:c>
    </x:row>
    <x:row r="83" ht="62" customHeight="1">
      <x:c r="A83" s="16" t="str">
        <x:v>082</x:v>
      </x:c>
      <x:c r="B83" s="17" t="str">
        <x:v>经营分析专家</x:v>
      </x:c>
      <x:c r="C83" s="17" t="str">
        <x:v>跨越速运集团有限公司</x:v>
      </x:c>
      <x:c r="D83" s="17" t="str">
        <x:v>物流</x:v>
      </x:c>
      <x:c r="E83" s="17" t="str">
        <x:v>广州</x:v>
      </x:c>
      <x:c r="F83" s="18" t="str">
        <x:v>12-24K</x:v>
      </x:c>
      <x:c r="G83" s="17" t="str">
        <x:v>经验不限</x:v>
      </x:c>
      <x:c r="H83" s="17" t="str">
        <x:v>本科</x:v>
      </x:c>
      <x:c r="I83" s="17" t="str">
        <x:v>销售分析; 数据整理; 报告撰写</x:v>
      </x:c>
      <x:c r="J83" s="17" t="str">
        <x:v>公开JD摘要：分析销售团队数据，定期汇报并整理市场信息。</x:v>
      </x:c>
      <x:c r="K83" s="19" t="n">
        <x:v>0</x:v>
      </x:c>
      <x:c r="L83" s="17" t="str">
        <x:v>未见（公开摘要）</x:v>
      </x:c>
      <x:c r="M83" s="17" t="str">
        <x:v>BOSS直聘</x:v>
      </x:c>
      <x:c r="N83" s="20" t="n">
        <x:v>46293</x:v>
      </x:c>
      <x:c r="O83" s="22" t="str">
        <x:v>https://www.zhipin.com/zhaopin/06d508b8477975400nF629i1Fw~~/</x:v>
      </x:c>
    </x:row>
    <x:row r="84" ht="62" customHeight="1">
      <x:c r="A84" s="11" t="str">
        <x:v>083</x:v>
      </x:c>
      <x:c r="B84" s="12" t="str">
        <x:v>经营分析专家（业务分析项）</x:v>
      </x:c>
      <x:c r="C84" s="12" t="str">
        <x:v>梵蜜琳</x:v>
      </x:c>
      <x:c r="D84" s="12" t="str">
        <x:v>电子商务</x:v>
      </x:c>
      <x:c r="E84" s="12" t="str">
        <x:v>广州</x:v>
      </x:c>
      <x:c r="F84" s="13" t="str">
        <x:v>15-30K</x:v>
      </x:c>
      <x:c r="G84" s="12" t="str">
        <x:v>经验不限</x:v>
      </x:c>
      <x:c r="H84" s="12" t="str">
        <x:v>硕士</x:v>
      </x:c>
      <x:c r="I84" s="12" t="str">
        <x:v>指标口径; 盈利分析; 投产分析</x:v>
      </x:c>
      <x:c r="J84" s="12" t="str">
        <x:v>公开JD摘要：统一经营日报口径，核算收入、成本、利润与投入产出。</x:v>
      </x:c>
      <x:c r="K84" s="14" t="n">
        <x:v>0</x:v>
      </x:c>
      <x:c r="L84" s="12" t="str">
        <x:v>未见（公开摘要）</x:v>
      </x:c>
      <x:c r="M84" s="12" t="str">
        <x:v>BOSS直聘</x:v>
      </x:c>
      <x:c r="N84" s="15" t="n">
        <x:v>46293</x:v>
      </x:c>
      <x:c r="O84" s="21" t="str">
        <x:v>https://www.zhipin.com/zhaopin/06d508b8477975400nF629i1Fw~~/</x:v>
      </x:c>
    </x:row>
    <x:row r="85" ht="62" customHeight="1">
      <x:c r="A85" s="16" t="str">
        <x:v>084</x:v>
      </x:c>
      <x:c r="B85" s="17" t="str">
        <x:v>经营分析专家</x:v>
      </x:c>
      <x:c r="C85" s="17" t="str">
        <x:v>朴朴超市</x:v>
      </x:c>
      <x:c r="D85" s="17" t="str">
        <x:v>互联网/科技</x:v>
      </x:c>
      <x:c r="E85" s="17" t="str">
        <x:v>广州</x:v>
      </x:c>
      <x:c r="F85" s="18" t="str">
        <x:v>20-40K·13薪</x:v>
      </x:c>
      <x:c r="G85" s="17" t="str">
        <x:v>5-10年</x:v>
      </x:c>
      <x:c r="H85" s="17" t="str">
        <x:v>本科</x:v>
      </x:c>
      <x:c r="I85" s="17" t="str">
        <x:v>指标体系; 数据建模; 经营报表</x:v>
      </x:c>
      <x:c r="J85" s="17" t="str">
        <x:v>公开JD摘要：建设经营指标和模型，用周期报表识别业务问题。</x:v>
      </x:c>
      <x:c r="K85" s="19" t="n">
        <x:v>0</x:v>
      </x:c>
      <x:c r="L85" s="17" t="str">
        <x:v>未见（公开摘要）</x:v>
      </x:c>
      <x:c r="M85" s="17" t="str">
        <x:v>BOSS直聘</x:v>
      </x:c>
      <x:c r="N85" s="20" t="n">
        <x:v>46293</x:v>
      </x:c>
      <x:c r="O85" s="22" t="str">
        <x:v>https://www.zhipin.com/zhaopin/06d508b8477975400nF629i1Fw~~/</x:v>
      </x:c>
    </x:row>
    <x:row r="86" ht="62" customHeight="1">
      <x:c r="A86" s="11" t="str">
        <x:v>085</x:v>
      </x:c>
      <x:c r="B86" s="12" t="str">
        <x:v>经营分析总监（新能源行业）</x:v>
      </x:c>
      <x:c r="C86" s="12" t="str">
        <x:v>协合运维</x:v>
      </x:c>
      <x:c r="D86" s="12" t="str">
        <x:v>新能源</x:v>
      </x:c>
      <x:c r="E86" s="12" t="str">
        <x:v>北京</x:v>
      </x:c>
      <x:c r="F86" s="13" t="str">
        <x:v>25-40K·14薪</x:v>
      </x:c>
      <x:c r="G86" s="12" t="str">
        <x:v>5-10年</x:v>
      </x:c>
      <x:c r="H86" s="12" t="str">
        <x:v>本科</x:v>
      </x:c>
      <x:c r="I86" s="12" t="str">
        <x:v>经营计划; 绩效监控; 预警分析</x:v>
      </x:c>
      <x:c r="J86" s="12" t="str">
        <x:v>公开JD摘要：支持经营规划，监测各业务单位的绩效与目标执行。</x:v>
      </x:c>
      <x:c r="K86" s="14" t="n">
        <x:v>0</x:v>
      </x:c>
      <x:c r="L86" s="12" t="str">
        <x:v>未见（公开摘要）</x:v>
      </x:c>
      <x:c r="M86" s="12" t="str">
        <x:v>BOSS直聘</x:v>
      </x:c>
      <x:c r="N86" s="15" t="n">
        <x:v>46293</x:v>
      </x:c>
      <x:c r="O86" s="21" t="str">
        <x:v>https://www.zhipin.com/zhaopin/d79aff64a051eaac03Nz09u0EQ~~/</x:v>
      </x:c>
    </x:row>
    <x:row r="87" ht="62" customHeight="1">
      <x:c r="A87" s="16" t="str">
        <x:v>086</x:v>
      </x:c>
      <x:c r="B87" s="17" t="str">
        <x:v>经营分析高级经理</x:v>
      </x:c>
      <x:c r="C87" s="17" t="str">
        <x:v>秦淮数据</x:v>
      </x:c>
      <x:c r="D87" s="17" t="str">
        <x:v>互联网/科技</x:v>
      </x:c>
      <x:c r="E87" s="17" t="str">
        <x:v>北京</x:v>
      </x:c>
      <x:c r="F87" s="18" t="str">
        <x:v>20-35K·14薪</x:v>
      </x:c>
      <x:c r="G87" s="17" t="str">
        <x:v>5-10年</x:v>
      </x:c>
      <x:c r="H87" s="17" t="str">
        <x:v>本科</x:v>
      </x:c>
      <x:c r="I87" s="17" t="str">
        <x:v>经营诊断; 分析模型; 效率优化</x:v>
      </x:c>
      <x:c r="J87" s="17" t="str">
        <x:v>公开JD摘要：诊断业务模块经营表现，完善模型并提出效率改进建议。</x:v>
      </x:c>
      <x:c r="K87" s="19" t="n">
        <x:v>0</x:v>
      </x:c>
      <x:c r="L87" s="17" t="str">
        <x:v>未见（公开摘要）</x:v>
      </x:c>
      <x:c r="M87" s="17" t="str">
        <x:v>BOSS直聘</x:v>
      </x:c>
      <x:c r="N87" s="20" t="n">
        <x:v>46293</x:v>
      </x:c>
      <x:c r="O87" s="22" t="str">
        <x:v>https://www.zhipin.com/zhaopin/5631bdaee052435703B-0tu6GQ~~/</x:v>
      </x:c>
    </x:row>
    <x:row r="88" ht="62" customHeight="1">
      <x:c r="A88" s="11" t="str">
        <x:v>087</x:v>
      </x:c>
      <x:c r="B88" s="12" t="str">
        <x:v>高级经营分析和预算管理经理(J10539)</x:v>
      </x:c>
      <x:c r="C88" s="12" t="str">
        <x:v>阳光出行</x:v>
      </x:c>
      <x:c r="D88" s="12" t="str">
        <x:v>互联网/科技</x:v>
      </x:c>
      <x:c r="E88" s="12" t="str">
        <x:v>北京</x:v>
      </x:c>
      <x:c r="F88" s="13" t="str">
        <x:v>25-40K·14薪</x:v>
      </x:c>
      <x:c r="G88" s="12" t="str">
        <x:v>3-5年</x:v>
      </x:c>
      <x:c r="H88" s="12" t="str">
        <x:v>本科</x:v>
      </x:c>
      <x:c r="I88" s="12" t="str">
        <x:v>经营指标; 异动监控; 数据整理</x:v>
      </x:c>
      <x:c r="J88" s="12" t="str">
        <x:v>公开JD摘要：汇集周期经营数据，跟踪重大指标变化并向管理层报告。</x:v>
      </x:c>
      <x:c r="K88" s="14" t="n">
        <x:v>0</x:v>
      </x:c>
      <x:c r="L88" s="12" t="str">
        <x:v>未见（公开摘要）</x:v>
      </x:c>
      <x:c r="M88" s="12" t="str">
        <x:v>BOSS直聘</x:v>
      </x:c>
      <x:c r="N88" s="15" t="n">
        <x:v>46293</x:v>
      </x:c>
      <x:c r="O88" s="21" t="str">
        <x:v>https://www.zhipin.com/zhaopin/5631bdaee052435703B-0tu6GQ~~/</x:v>
      </x:c>
    </x:row>
    <x:row r="89" ht="62" customHeight="1">
      <x:c r="A89" s="16" t="str">
        <x:v>088</x:v>
      </x:c>
      <x:c r="B89" s="17" t="str">
        <x:v>高级经营分析师</x:v>
      </x:c>
      <x:c r="C89" s="17" t="str">
        <x:v>字节跳动</x:v>
      </x:c>
      <x:c r="D89" s="17" t="str">
        <x:v>互联网/科技</x:v>
      </x:c>
      <x:c r="E89" s="17" t="str">
        <x:v>北京</x:v>
      </x:c>
      <x:c r="F89" s="18" t="str">
        <x:v>35-45K·15薪</x:v>
      </x:c>
      <x:c r="G89" s="17" t="str">
        <x:v>5-10年</x:v>
      </x:c>
      <x:c r="H89" s="17" t="str">
        <x:v>本科</x:v>
      </x:c>
      <x:c r="I89" s="17" t="str">
        <x:v>指标管理; 经营分析; 跨部门协作</x:v>
      </x:c>
      <x:c r="J89" s="17" t="str">
        <x:v>公开JD摘要：完善经营分析与目标管理体系，协同产品技术团队。</x:v>
      </x:c>
      <x:c r="K89" s="19" t="n">
        <x:v>0</x:v>
      </x:c>
      <x:c r="L89" s="17" t="str">
        <x:v>未见（公开摘要）</x:v>
      </x:c>
      <x:c r="M89" s="17" t="str">
        <x:v>BOSS直聘</x:v>
      </x:c>
      <x:c r="N89" s="20" t="n">
        <x:v>46293</x:v>
      </x:c>
      <x:c r="O89" s="22" t="str">
        <x:v>https://www.zhipin.com/zhaopin/5631bdaee052435703B-0tu6GQ~~/</x:v>
      </x:c>
    </x:row>
    <x:row r="90" ht="62" customHeight="1">
      <x:c r="A90" s="11" t="str">
        <x:v>089</x:v>
      </x:c>
      <x:c r="B90" s="12" t="str">
        <x:v>经营分析</x:v>
      </x:c>
      <x:c r="C90" s="12" t="str">
        <x:v>伯希和</x:v>
      </x:c>
      <x:c r="D90" s="12" t="str">
        <x:v>消费品</x:v>
      </x:c>
      <x:c r="E90" s="12" t="str">
        <x:v>北京</x:v>
      </x:c>
      <x:c r="F90" s="13" t="str">
        <x:v>20-35K</x:v>
      </x:c>
      <x:c r="G90" s="12" t="str">
        <x:v>5-10年</x:v>
      </x:c>
      <x:c r="H90" s="12" t="str">
        <x:v>本科</x:v>
      </x:c>
      <x:c r="I90" s="12" t="str">
        <x:v>损益分析; 成本分析; 异常归因</x:v>
      </x:c>
      <x:c r="J90" s="12" t="str">
        <x:v>公开JD摘要：结合业务策略形成经营报告，分析损益、成本及异常。</x:v>
      </x:c>
      <x:c r="K90" s="14" t="n">
        <x:v>0</x:v>
      </x:c>
      <x:c r="L90" s="12" t="str">
        <x:v>未见（公开摘要）</x:v>
      </x:c>
      <x:c r="M90" s="12" t="str">
        <x:v>BOSS直聘</x:v>
      </x:c>
      <x:c r="N90" s="15" t="n">
        <x:v>46293</x:v>
      </x:c>
      <x:c r="O90" s="21" t="str">
        <x:v>https://www.zhipin.com/zhaopin/5631bdaee052435703B-0tu6GQ~~/</x:v>
      </x:c>
    </x:row>
    <x:row r="91" ht="62" customHeight="1">
      <x:c r="A91" s="16" t="str">
        <x:v>090</x:v>
      </x:c>
      <x:c r="B91" s="17" t="str">
        <x:v>经营分析-杭州</x:v>
      </x:c>
      <x:c r="C91" s="17" t="str">
        <x:v>杭州高德云图</x:v>
      </x:c>
      <x:c r="D91" s="17" t="str">
        <x:v>互联网/科技</x:v>
      </x:c>
      <x:c r="E91" s="17" t="str">
        <x:v>杭州</x:v>
      </x:c>
      <x:c r="F91" s="18" t="str">
        <x:v>25-50K·16薪</x:v>
      </x:c>
      <x:c r="G91" s="17" t="str">
        <x:v>3-5年</x:v>
      </x:c>
      <x:c r="H91" s="17" t="str">
        <x:v>本科</x:v>
      </x:c>
      <x:c r="I91" s="17" t="str">
        <x:v>商业化分析; 流量分析; LTV</x:v>
      </x:c>
      <x:c r="J91" s="17" t="str">
        <x:v>公开JD摘要：分析商业化收入形成路径，定位流量及转化问题。</x:v>
      </x:c>
      <x:c r="K91" s="19" t="n">
        <x:v>0</x:v>
      </x:c>
      <x:c r="L91" s="17" t="str">
        <x:v>未见（公开摘要）</x:v>
      </x:c>
      <x:c r="M91" s="17" t="str">
        <x:v>BOSS直聘</x:v>
      </x:c>
      <x:c r="N91" s="20" t="n">
        <x:v>46293</x:v>
      </x:c>
      <x:c r="O91" s="22" t="str">
        <x:v>https://www.zhipin.com/zhaopin/dcfcdb4ac0a56f810nB42d-7EA~~/</x:v>
      </x:c>
    </x:row>
    <x:row r="92" ht="62" customHeight="1">
      <x:c r="A92" s="11" t="str">
        <x:v>091</x:v>
      </x:c>
      <x:c r="B92" s="12" t="str">
        <x:v>经营分析师</x:v>
      </x:c>
      <x:c r="C92" s="12" t="str">
        <x:v>鲸灵智能</x:v>
      </x:c>
      <x:c r="D92" s="12" t="str">
        <x:v>电子商务</x:v>
      </x:c>
      <x:c r="E92" s="12" t="str">
        <x:v>杭州</x:v>
      </x:c>
      <x:c r="F92" s="13" t="str">
        <x:v>15-25K</x:v>
      </x:c>
      <x:c r="G92" s="12" t="str">
        <x:v>3-5年</x:v>
      </x:c>
      <x:c r="H92" s="12" t="str">
        <x:v>本科</x:v>
      </x:c>
      <x:c r="I92" s="12" t="str">
        <x:v>经营报表; 预算预测; 模型优化</x:v>
      </x:c>
      <x:c r="J92" s="12" t="str">
        <x:v>公开JD摘要：输出周期经营分析，协调预算预测与模型优化。</x:v>
      </x:c>
      <x:c r="K92" s="14" t="n">
        <x:v>0</x:v>
      </x:c>
      <x:c r="L92" s="12" t="str">
        <x:v>未见（公开摘要）</x:v>
      </x:c>
      <x:c r="M92" s="12" t="str">
        <x:v>BOSS直聘</x:v>
      </x:c>
      <x:c r="N92" s="15" t="n">
        <x:v>46293</x:v>
      </x:c>
      <x:c r="O92" s="21" t="str">
        <x:v>https://www.zhipin.com/zhaopin/dcfcdb4ac0a56f810nB42d-7EA~~/</x:v>
      </x:c>
    </x:row>
    <x:row r="93" ht="62" customHeight="1">
      <x:c r="A93" s="16" t="str">
        <x:v>092</x:v>
      </x:c>
      <x:c r="B93" s="17" t="str">
        <x:v>数据经营分析师</x:v>
      </x:c>
      <x:c r="C93" s="17" t="str">
        <x:v>华熙生物集团</x:v>
      </x:c>
      <x:c r="D93" s="17" t="str">
        <x:v>消费品</x:v>
      </x:c>
      <x:c r="E93" s="17" t="str">
        <x:v>杭州</x:v>
      </x:c>
      <x:c r="F93" s="18" t="str">
        <x:v>7-10K</x:v>
      </x:c>
      <x:c r="G93" s="17" t="str">
        <x:v>1-3年</x:v>
      </x:c>
      <x:c r="H93" s="17" t="str">
        <x:v>本科</x:v>
      </x:c>
      <x:c r="I93" s="17" t="str">
        <x:v>BI; 指标拆解; 可视化</x:v>
      </x:c>
      <x:c r="J93" s="17" t="str">
        <x:v>公开JD摘要：拆解经营指标并搭建BI看板，明确数据采集需求。</x:v>
      </x:c>
      <x:c r="K93" s="19" t="n">
        <x:v>0</x:v>
      </x:c>
      <x:c r="L93" s="17" t="str">
        <x:v>未见（公开摘要）</x:v>
      </x:c>
      <x:c r="M93" s="17" t="str">
        <x:v>BOSS直聘</x:v>
      </x:c>
      <x:c r="N93" s="20" t="n">
        <x:v>46293</x:v>
      </x:c>
      <x:c r="O93" s="22" t="str">
        <x:v>https://www.zhipin.com/zhaopin/dcfcdb4ac0a56f810nB42d-7EA~~/</x:v>
      </x:c>
    </x:row>
    <x:row r="94" ht="62" customHeight="1">
      <x:c r="A94" s="11" t="str">
        <x:v>093</x:v>
      </x:c>
      <x:c r="B94" s="12" t="str">
        <x:v>经营分析负责人 (MJ000266)</x:v>
      </x:c>
      <x:c r="C94" s="12" t="str">
        <x:v>奥普</x:v>
      </x:c>
      <x:c r="D94" s="12" t="str">
        <x:v>制造业</x:v>
      </x:c>
      <x:c r="E94" s="12" t="str">
        <x:v>杭州</x:v>
      </x:c>
      <x:c r="F94" s="13" t="str">
        <x:v>30-50K·13薪</x:v>
      </x:c>
      <x:c r="G94" s="12" t="str">
        <x:v>5-10年</x:v>
      </x:c>
      <x:c r="H94" s="12" t="str">
        <x:v>本科</x:v>
      </x:c>
      <x:c r="I94" s="12" t="str">
        <x:v>经营报告; 年度预算; 滚动预测</x:v>
      </x:c>
      <x:c r="J94" s="12" t="str">
        <x:v>公开JD摘要：建设经营报告体系，组织预算编制与执行预测。</x:v>
      </x:c>
      <x:c r="K94" s="14" t="n">
        <x:v>0</x:v>
      </x:c>
      <x:c r="L94" s="12" t="str">
        <x:v>未见（公开摘要）</x:v>
      </x:c>
      <x:c r="M94" s="12" t="str">
        <x:v>BOSS直聘</x:v>
      </x:c>
      <x:c r="N94" s="15" t="n">
        <x:v>46293</x:v>
      </x:c>
      <x:c r="O94" s="21" t="str">
        <x:v>https://www.zhipin.com/zhaopin/dcfcdb4ac0a56f810nB42d-7EA~~/</x:v>
      </x:c>
    </x:row>
    <x:row r="95" ht="62" customHeight="1">
      <x:c r="A95" s="16" t="str">
        <x:v>094</x:v>
      </x:c>
      <x:c r="B95" s="17" t="str">
        <x:v>经营分析</x:v>
      </x:c>
      <x:c r="C95" s="17" t="str">
        <x:v>上海擎天租科技</x:v>
      </x:c>
      <x:c r="D95" s="17" t="str">
        <x:v>互联网/科技</x:v>
      </x:c>
      <x:c r="E95" s="17" t="str">
        <x:v>上海</x:v>
      </x:c>
      <x:c r="F95" s="18" t="str">
        <x:v>20-30K·15薪</x:v>
      </x:c>
      <x:c r="G95" s="17" t="str">
        <x:v>3-5年</x:v>
      </x:c>
      <x:c r="H95" s="17" t="str">
        <x:v>本科</x:v>
      </x:c>
      <x:c r="I95" s="17" t="str">
        <x:v>指标体系; 获客成本; 数据看板</x:v>
      </x:c>
      <x:c r="J95" s="17" t="str">
        <x:v>公开JD摘要：搭建经营指标和看板，统一收入、续约与效率口径。</x:v>
      </x:c>
      <x:c r="K95" s="19" t="n">
        <x:v>0</x:v>
      </x:c>
      <x:c r="L95" s="17" t="str">
        <x:v>未见（公开摘要）</x:v>
      </x:c>
      <x:c r="M95" s="17" t="str">
        <x:v>BOSS直聘</x:v>
      </x:c>
      <x:c r="N95" s="20" t="n">
        <x:v>46293</x:v>
      </x:c>
      <x:c r="O95" s="22" t="str">
        <x:v>https://www.zhipin.com/zhaopin/da699d9e8662127903x83Ni1EA~~/</x:v>
      </x:c>
    </x:row>
    <x:row r="96" ht="62" customHeight="1">
      <x:c r="A96" s="11" t="str">
        <x:v>095</x:v>
      </x:c>
      <x:c r="B96" s="12" t="str">
        <x:v>经营分析</x:v>
      </x:c>
      <x:c r="C96" s="12" t="str">
        <x:v>传音控股</x:v>
      </x:c>
      <x:c r="D96" s="12" t="str">
        <x:v>制造业</x:v>
      </x:c>
      <x:c r="E96" s="12" t="str">
        <x:v>上海</x:v>
      </x:c>
      <x:c r="F96" s="13" t="str">
        <x:v>25-40K·16薪</x:v>
      </x:c>
      <x:c r="G96" s="12" t="str">
        <x:v>5-10年</x:v>
      </x:c>
      <x:c r="H96" s="12" t="str">
        <x:v>本科</x:v>
      </x:c>
      <x:c r="I96" s="12" t="str">
        <x:v>数据标准; 指标口径; 数据整合</x:v>
      </x:c>
      <x:c r="J96" s="12" t="str">
        <x:v>公开JD摘要：统一业务指标标准，整合各业务线核心数据。</x:v>
      </x:c>
      <x:c r="K96" s="14" t="n">
        <x:v>0</x:v>
      </x:c>
      <x:c r="L96" s="12" t="str">
        <x:v>未见（公开摘要）</x:v>
      </x:c>
      <x:c r="M96" s="12" t="str">
        <x:v>BOSS直聘</x:v>
      </x:c>
      <x:c r="N96" s="15" t="n">
        <x:v>46293</x:v>
      </x:c>
      <x:c r="O96" s="21" t="str">
        <x:v>https://www.zhipin.com/zhaopin/da699d9e8662127903x83Ni1EA~~/</x:v>
      </x:c>
    </x:row>
    <x:row r="97" ht="62" customHeight="1">
      <x:c r="A97" s="16" t="str">
        <x:v>096</x:v>
      </x:c>
      <x:c r="B97" s="17" t="str">
        <x:v>经营分析</x:v>
      </x:c>
      <x:c r="C97" s="17" t="str">
        <x:v>启源芯动力</x:v>
      </x:c>
      <x:c r="D97" s="17" t="str">
        <x:v>新能源</x:v>
      </x:c>
      <x:c r="E97" s="17" t="str">
        <x:v>上海</x:v>
      </x:c>
      <x:c r="F97" s="18" t="str">
        <x:v>15-18K</x:v>
      </x:c>
      <x:c r="G97" s="17" t="str">
        <x:v>5-10年</x:v>
      </x:c>
      <x:c r="H97" s="17" t="str">
        <x:v>硕士</x:v>
      </x:c>
      <x:c r="I97" s="17" t="str">
        <x:v>数据整理; 经营分析; 趋势识别</x:v>
      </x:c>
      <x:c r="J97" s="17" t="str">
        <x:v>公开JD摘要：整理经营数据并检查质量，分析关键指标变化。</x:v>
      </x:c>
      <x:c r="K97" s="19" t="n">
        <x:v>0</x:v>
      </x:c>
      <x:c r="L97" s="17" t="str">
        <x:v>未见（公开摘要）</x:v>
      </x:c>
      <x:c r="M97" s="17" t="str">
        <x:v>BOSS直聘</x:v>
      </x:c>
      <x:c r="N97" s="20" t="n">
        <x:v>46293</x:v>
      </x:c>
      <x:c r="O97" s="22" t="str">
        <x:v>https://www.zhipin.com/zhaopin/da699d9e8662127903x83Ni1EA~~/</x:v>
      </x:c>
    </x:row>
    <x:row r="98" ht="62" customHeight="1">
      <x:c r="A98" s="11" t="str">
        <x:v>097</x:v>
      </x:c>
      <x:c r="B98" s="12" t="str">
        <x:v>经营分析经理</x:v>
      </x:c>
      <x:c r="C98" s="12" t="str">
        <x:v>乐信集团</x:v>
      </x:c>
      <x:c r="D98" s="12" t="str">
        <x:v>金融科技</x:v>
      </x:c>
      <x:c r="E98" s="12" t="str">
        <x:v>上海</x:v>
      </x:c>
      <x:c r="F98" s="13" t="str">
        <x:v>20-35K·16薪</x:v>
      </x:c>
      <x:c r="G98" s="12" t="str">
        <x:v>5-10年</x:v>
      </x:c>
      <x:c r="H98" s="12" t="str">
        <x:v>本科</x:v>
      </x:c>
      <x:c r="I98" s="12" t="str">
        <x:v>信贷分析; 用户增长; 异动归因</x:v>
      </x:c>
      <x:c r="J98" s="12" t="str">
        <x:v>公开JD摘要：维护海外信贷经营指标，跟踪资产质量和渠道表现。</x:v>
      </x:c>
      <x:c r="K98" s="14" t="n">
        <x:v>0</x:v>
      </x:c>
      <x:c r="L98" s="12" t="str">
        <x:v>未见（公开摘要）</x:v>
      </x:c>
      <x:c r="M98" s="12" t="str">
        <x:v>BOSS直聘</x:v>
      </x:c>
      <x:c r="N98" s="15" t="n">
        <x:v>46293</x:v>
      </x:c>
      <x:c r="O98" s="21" t="str">
        <x:v>https://www.zhipin.com/zhaopin/da699d9e8662127903x83Ni1EA~~/</x:v>
      </x:c>
    </x:row>
    <x:row r="99" ht="62" customHeight="1">
      <x:c r="A99" s="16" t="str">
        <x:v>098</x:v>
      </x:c>
      <x:c r="B99" s="17" t="str">
        <x:v>经营分析运营 （需接受出差/外派）</x:v>
      </x:c>
      <x:c r="C99" s="17" t="str">
        <x:v>上海从鲸信息技术</x:v>
      </x:c>
      <x:c r="D99" s="17" t="str">
        <x:v>互联网/科技</x:v>
      </x:c>
      <x:c r="E99" s="17" t="str">
        <x:v>深圳</x:v>
      </x:c>
      <x:c r="F99" s="18" t="str">
        <x:v>20-40K·16薪</x:v>
      </x:c>
      <x:c r="G99" s="17" t="str">
        <x:v>3-5年</x:v>
      </x:c>
      <x:c r="H99" s="17" t="str">
        <x:v>本科</x:v>
      </x:c>
      <x:c r="I99" s="17" t="str">
        <x:v>成本建模; 仪表盘; 异常预警</x:v>
      </x:c>
      <x:c r="J99" s="17" t="str">
        <x:v>公开JD摘要：建立仓储人力成本模型和看板，识别成本异常及浪费。</x:v>
      </x:c>
      <x:c r="K99" s="19" t="n">
        <x:v>0</x:v>
      </x:c>
      <x:c r="L99" s="17" t="str">
        <x:v>未见（公开摘要）</x:v>
      </x:c>
      <x:c r="M99" s="17" t="str">
        <x:v>BOSS直聘</x:v>
      </x:c>
      <x:c r="N99" s="20" t="n">
        <x:v>46293</x:v>
      </x:c>
      <x:c r="O99" s="22" t="str">
        <x:v>https://www.zhipin.com/zhaopin/14a3184a5248ffc01HN53920Fg~~/</x:v>
      </x:c>
    </x:row>
    <x:row r="100" ht="62" customHeight="1">
      <x:c r="A100" s="11" t="str">
        <x:v>099</x:v>
      </x:c>
      <x:c r="B100" s="12" t="str">
        <x:v>数据分析师（AI实践 + 经营分析）</x:v>
      </x:c>
      <x:c r="C100" s="12" t="str">
        <x:v>和生创新技术</x:v>
      </x:c>
      <x:c r="D100" s="12" t="str">
        <x:v>制造业</x:v>
      </x:c>
      <x:c r="E100" s="12" t="str">
        <x:v>深圳</x:v>
      </x:c>
      <x:c r="F100" s="13" t="str">
        <x:v>20-30K</x:v>
      </x:c>
      <x:c r="G100" s="12" t="str">
        <x:v>3-5年</x:v>
      </x:c>
      <x:c r="H100" s="12" t="str">
        <x:v>本科</x:v>
      </x:c>
      <x:c r="I100" s="12" t="str">
        <x:v>AI工具; 经营分析; 数据看板</x:v>
      </x:c>
      <x:c r="J100" s="12" t="str">
        <x:v>公开JD摘要：为运营、财务和供应链输出分析，探索AI工具的应用。</x:v>
      </x:c>
      <x:c r="K100" s="14" t="n">
        <x:v>1</x:v>
      </x:c>
      <x:c r="L100" s="12" t="str">
        <x:v>AI</x:v>
      </x:c>
      <x:c r="M100" s="12" t="str">
        <x:v>BOSS直聘</x:v>
      </x:c>
      <x:c r="N100" s="15" t="n">
        <x:v>46293</x:v>
      </x:c>
      <x:c r="O100" s="21" t="str">
        <x:v>https://www.zhipin.com/zhaopin/14a3184a5248ffc01HN53920Fg~~/</x:v>
      </x:c>
    </x:row>
    <x:row r="101" ht="62" customHeight="1">
      <x:c r="A101" s="16" t="str">
        <x:v>100</x:v>
      </x:c>
      <x:c r="B101" s="17" t="str">
        <x:v>经营管理数据分析</x:v>
      </x:c>
      <x:c r="C101" s="17" t="str">
        <x:v>倍思科技</x:v>
      </x:c>
      <x:c r="D101" s="17" t="str">
        <x:v>制造业</x:v>
      </x:c>
      <x:c r="E101" s="17" t="str">
        <x:v>深圳</x:v>
      </x:c>
      <x:c r="F101" s="18" t="str">
        <x:v>15-20K</x:v>
      </x:c>
      <x:c r="G101" s="17" t="str">
        <x:v>3-5年</x:v>
      </x:c>
      <x:c r="H101" s="17" t="str">
        <x:v>本科</x:v>
      </x:c>
      <x:c r="I101" s="17" t="str">
        <x:v>数据清洗; 分析建模; 绩效报告</x:v>
      </x:c>
      <x:c r="J101" s="17" t="str">
        <x:v>公开JD摘要：处理财经及绩效数据，分析经营指标并优化流程。</x:v>
      </x:c>
      <x:c r="K101" s="19" t="n">
        <x:v>0</x:v>
      </x:c>
      <x:c r="L101" s="17" t="str">
        <x:v>未见（公开摘要）</x:v>
      </x:c>
      <x:c r="M101" s="17" t="str">
        <x:v>BOSS直聘</x:v>
      </x:c>
      <x:c r="N101" s="20" t="n">
        <x:v>46293</x:v>
      </x:c>
      <x:c r="O101" s="22" t="str">
        <x:v>https://www.zhipin.com/zhaopin/14a3184a5248ffc01HN53920Fg~~/</x:v>
      </x:c>
    </x:row>
  </x:sheetData>
  <x:conditionalFormatting sqref="K2:K101">
    <x:cfRule type="cellIs" dxfId="0" priority="1" operator="equal">
      <x:formula>1</x:formula>
    </x:cfRule>
  </x:conditionalFormatting>
  <x:dataValidations count="1">
    <x:dataValidation type="whole" operator="between" sqref="K2:K101">
      <x:formula1>0</x:formula1>
      <x:formula2>1</x:formula2>
    </x:dataValidation>
  </x:dataValidations>
  <x:pageMargins left="0.7" right="0.7" top="0.75" bottom="0.75" header="0.3" footer="0.3"/>
  <x:tableParts count="1">
    <x:tablePart xmlns:r="http://schemas.openxmlformats.org/officeDocument/2006/relationships" r:id="R28e7c634ab4b4b79"/>
  </x:tableParts>
</x:worksheet>
</file>

<file path=xl/worksheets/sheet2.xml><?xml version="1.0" encoding="utf-8"?>
<x:worksheet xmlns:x="http://schemas.openxmlformats.org/spreadsheetml/2006/main">
  <x:sheetPr>
    <x:tabColor rgb="FF087E8B"/>
  </x:sheetPr>
  <x:sheetViews>
    <x:sheetView showGridLines="0" workbookViewId="0">
      <x:pane ySplit="2" topLeftCell="A3" activePane="bottomLeft" state="frozen"/>
    </x:sheetView>
  </x:sheetViews>
  <x:sheetFormatPr defaultRowHeight="15"/>
  <x:cols>
    <x:col min="1" max="1" width="10" hidden="0" customWidth="1"/>
    <x:col min="2" max="2" width="18" hidden="0" customWidth="1"/>
    <x:col min="3" max="3" width="37" hidden="0" customWidth="1"/>
    <x:col min="4" max="4" width="18" hidden="0" customWidth="1"/>
    <x:col min="5" max="5" width="15" hidden="0" customWidth="1"/>
    <x:col min="6" max="6" width="52" hidden="0" customWidth="1"/>
    <x:col min="7" max="7" width="23" hidden="0" customWidth="1"/>
    <x:col min="8" max="8" width="65" hidden="0" customWidth="1"/>
    <x:col min="9" max="9" width="19" hidden="0" customWidth="1"/>
  </x:cols>
  <x:sheetData>
    <x:row r="1" ht="29" customHeight="1">
      <x:c r="A1" s="23" t="str">
        <x:v>AI coding and data cleaning rules</x:v>
      </x:c>
      <x:c r="B1" s="23"/>
      <x:c r="C1" s="23"/>
      <x:c r="D1" s="23"/>
      <x:c r="E1" s="23"/>
      <x:c r="F1" s="23"/>
      <x:c r="G1" s="4"/>
      <x:c r="H1" s="4"/>
      <x:c r="I1" s="4"/>
    </x:row>
    <x:row r="2">
      <x:c r="A2" s="3"/>
      <x:c r="B2" s="3"/>
      <x:c r="C2" s="3"/>
      <x:c r="D2" s="3"/>
      <x:c r="E2" s="3"/>
      <x:c r="F2" s="3"/>
      <x:c r="G2" s="3"/>
      <x:c r="H2" s="3"/>
      <x:c r="I2" s="3"/>
    </x:row>
    <x:row r="3" ht="49" customHeight="1">
      <x:c r="A3" s="25" t="str">
        <x:v>Evidence boundary</x:v>
      </x:c>
      <x:c r="B3" s="17" t="str">
        <x:v>All 100 rows use publicly visible JD excerpts. A 0 code means no AI requirement was seen in that excerpt; full-JD absence is not verified.</x:v>
      </x:c>
      <x:c r="C3" s="17"/>
      <x:c r="D3" s="17"/>
      <x:c r="E3" s="17"/>
      <x:c r="F3" s="17"/>
      <x:c r="G3" s="3"/>
      <x:c r="H3" s="3"/>
      <x:c r="I3" s="3"/>
    </x:row>
    <x:row r="4" ht="49" customHeight="1">
      <x:c r="A4" s="26" t="str">
        <x:v>Record mapping</x:v>
      </x:c>
      <x:c r="B4" s="12" t="str">
        <x:v>The record-level coding sheet starts below the rules. Main-table Job_Title values remain unchanged; role families are analytical categories.</x:v>
      </x:c>
      <x:c r="C4" s="12"/>
      <x:c r="D4" s="12"/>
      <x:c r="E4" s="12"/>
      <x:c r="F4" s="12"/>
      <x:c r="G4" s="3"/>
      <x:c r="H4" s="3"/>
      <x:c r="I4" s="3"/>
    </x:row>
    <x:row r="5">
      <x:c r="A5" s="3"/>
      <x:c r="B5" s="3"/>
      <x:c r="C5" s="3"/>
      <x:c r="D5" s="3"/>
      <x:c r="E5" s="3"/>
      <x:c r="F5" s="3"/>
      <x:c r="G5" s="3"/>
      <x:c r="H5" s="3"/>
      <x:c r="I5" s="3"/>
    </x:row>
    <x:row r="6">
      <x:c r="A6" s="3"/>
      <x:c r="B6" s="3"/>
      <x:c r="C6" s="3"/>
      <x:c r="D6" s="3"/>
      <x:c r="E6" s="3"/>
      <x:c r="F6" s="3"/>
      <x:c r="G6" s="3"/>
      <x:c r="H6" s="3"/>
      <x:c r="I6" s="3"/>
    </x:row>
    <x:row r="7" ht="32" customHeight="1">
      <x:c r="A7" s="5" t="str">
        <x:v>Area</x:v>
      </x:c>
      <x:c r="B7" s="5" t="str">
        <x:v>Rule</x:v>
      </x:c>
      <x:c r="C7" s="5" t="str">
        <x:v>Definition</x:v>
      </x:c>
      <x:c r="D7" s="4"/>
      <x:c r="E7" s="4"/>
      <x:c r="F7" s="4"/>
      <x:c r="G7" s="3"/>
      <x:c r="H7" s="3"/>
      <x:c r="I7" s="3"/>
    </x:row>
    <x:row r="8" ht="57" customHeight="1">
      <x:c r="A8" s="12" t="str">
        <x:v>AI coding</x:v>
      </x:c>
      <x:c r="B8" s="12" t="str">
        <x:v>Scope</x:v>
      </x:c>
      <x:c r="C8" s="12" t="str">
        <x:v>Code only the observed JD excerpt. AI_Required is a broad mention indicator, including AI-related duties; it does not establish mandatory AI proficiency.</x:v>
      </x:c>
      <x:c r="D8" s="3"/>
      <x:c r="E8" s="3"/>
      <x:c r="F8" s="3"/>
      <x:c r="G8" s="3"/>
      <x:c r="H8" s="3"/>
      <x:c r="I8" s="3"/>
    </x:row>
    <x:row r="9" ht="57" customHeight="1">
      <x:c r="A9" s="17" t="str">
        <x:v>AI coding</x:v>
      </x:c>
      <x:c r="B9" s="17" t="str">
        <x:v>Positive = 1</x:v>
      </x:c>
      <x:c r="C9" s="17" t="str">
        <x:v>An explicit AI tool, method or AI-related work requirement occurs in the excerpt. Examples include AI, ChatGPT, LLM, 大模型, AIGC, Generative AI, 机器学习, and AI-context Agent/NLP terms.</x:v>
      </x:c>
      <x:c r="D9" s="3"/>
      <x:c r="E9" s="3"/>
      <x:c r="F9" s="3"/>
      <x:c r="G9" s="3"/>
      <x:c r="H9" s="3"/>
      <x:c r="I9" s="3"/>
    </x:row>
    <x:row r="10" ht="57" customHeight="1">
      <x:c r="A10" s="12" t="str">
        <x:v>AI coding</x:v>
      </x:c>
      <x:c r="B10" s="12" t="str">
        <x:v>Negative = 0</x:v>
      </x:c>
      <x:c r="C10" s="12" t="str">
        <x:v>No qualifying AI requirement is visible in the excerpt. Write AI_Terms as 未见（公开摘要）. Do not interpret this as verified absence from the full JD.</x:v>
      </x:c>
      <x:c r="D10" s="3"/>
      <x:c r="E10" s="3"/>
      <x:c r="F10" s="3"/>
      <x:c r="G10" s="3"/>
      <x:c r="H10" s="3"/>
      <x:c r="I10" s="3"/>
    </x:row>
    <x:row r="11" ht="57" customHeight="1">
      <x:c r="A11" s="17" t="str">
        <x:v>AI coding</x:v>
      </x:c>
      <x:c r="B11" s="17" t="str">
        <x:v>Context review</x:v>
      </x:c>
      <x:c r="C11" s="17" t="str">
        <x:v>Company industry 人工智能, generic Python, SQL, data mining, BI, automation or RPA alone do not trigger 1. Agent, 情感分析 and 意图识别 require AI/technical context.</x:v>
      </x:c>
      <x:c r="D11" s="3"/>
      <x:c r="E11" s="3"/>
      <x:c r="F11" s="3"/>
      <x:c r="G11" s="3"/>
      <x:c r="H11" s="3"/>
      <x:c r="I11" s="3"/>
    </x:row>
    <x:row r="12" ht="57" customHeight="1">
      <x:c r="A12" s="12" t="str">
        <x:v>AI coding</x:v>
      </x:c>
      <x:c r="B12" s="12" t="str">
        <x:v>Terms</x:v>
      </x:c>
      <x:c r="C12" s="12" t="str">
        <x:v>Retain the observed keyword, normalize English case where useful, remove repeats, and separate terms with semicolons. Do not add unobserved ChatGPT/LLM examples.</x:v>
      </x:c>
      <x:c r="D12" s="3"/>
      <x:c r="E12" s="3"/>
      <x:c r="F12" s="3"/>
      <x:c r="G12" s="3"/>
      <x:c r="H12" s="3"/>
      <x:c r="I12" s="3"/>
    </x:row>
    <x:row r="13" ht="57" customHeight="1">
      <x:c r="A13" s="17" t="str">
        <x:v>AI coding</x:v>
      </x:c>
      <x:c r="B13" s="17" t="str">
        <x:v>Consistency</x:v>
      </x:c>
      <x:c r="C13" s="17" t="str">
        <x:v>Every positive must have a concrete keyword supported by its summary. Every negative uses the standard nonempty sentinel. Keep ambiguous cases for team review.</x:v>
      </x:c>
      <x:c r="D13" s="3"/>
      <x:c r="E13" s="3"/>
      <x:c r="F13" s="3"/>
      <x:c r="G13" s="3"/>
      <x:c r="H13" s="3"/>
      <x:c r="I13" s="3"/>
    </x:row>
    <x:row r="14" ht="57" customHeight="1">
      <x:c r="A14" s="12" t="str">
        <x:v>Cleaning</x:v>
      </x:c>
      <x:c r="B14" s="12" t="str">
        <x:v>Inclusion</x:v>
      </x:c>
      <x:c r="C14" s="12" t="str">
        <x:v>A relevant analytical role in one of the five cities, with company, salary, experience, education, industry evidence and a useful public JD excerpt.</x:v>
      </x:c>
      <x:c r="D14" s="3"/>
      <x:c r="E14" s="3"/>
      <x:c r="F14" s="3"/>
      <x:c r="G14" s="3"/>
      <x:c r="H14" s="3"/>
      <x:c r="I14" s="3"/>
    </x:row>
    <x:row r="15" ht="57" customHeight="1">
      <x:c r="A15" s="17" t="str">
        <x:v>Cleaning</x:v>
      </x:c>
      <x:c r="B15" s="17" t="str">
        <x:v>Exclusion</x:v>
      </x:c>
      <x:c r="C15" s="17" t="str">
        <x:v>Exclude unrelated roles, locations outside the frame, missing essential source information, obscured company names and duplicate company-title-city combinations.</x:v>
      </x:c>
      <x:c r="D15" s="3"/>
      <x:c r="E15" s="3"/>
      <x:c r="F15" s="3"/>
      <x:c r="G15" s="3"/>
      <x:c r="H15" s="3"/>
      <x:c r="I15" s="3"/>
    </x:row>
    <x:row r="16" ht="57" customHeight="1">
      <x:c r="A16" s="12" t="str">
        <x:v>Cleaning</x:v>
      </x:c>
      <x:c r="B16" s="12" t="str">
        <x:v>Identifiers</x:v>
      </x:c>
      <x:c r="C16" s="12" t="str">
        <x:v>Assign text IDs 001–100 after selection and deduplication. Sort by the four role families; retain original titles.</x:v>
      </x:c>
      <x:c r="D16" s="3"/>
      <x:c r="E16" s="3"/>
      <x:c r="F16" s="3"/>
      <x:c r="G16" s="3"/>
      <x:c r="H16" s="3"/>
      <x:c r="I16" s="3"/>
    </x:row>
    <x:row r="17" ht="57" customHeight="1">
      <x:c r="A17" s="17" t="str">
        <x:v>Cleaning</x:v>
      </x:c>
      <x:c r="B17" s="17" t="str">
        <x:v>Duplicate rule</x:v>
      </x:c>
      <x:c r="C17" s="17" t="str">
        <x:v>Normalize spaces and English case in company, title and city. Keep one record for the same key; distinct roles at the same company remain separate.</x:v>
      </x:c>
      <x:c r="D17" s="3"/>
      <x:c r="E17" s="3"/>
      <x:c r="F17" s="3"/>
      <x:c r="G17" s="3"/>
      <x:c r="H17" s="3"/>
      <x:c r="I17" s="3"/>
    </x:row>
    <x:row r="18" ht="57" customHeight="1">
      <x:c r="A18" s="12" t="str">
        <x:v>Cleaning</x:v>
      </x:c>
      <x:c r="B18" s="12" t="str">
        <x:v>No imputation</x:v>
      </x:c>
      <x:c r="C18" s="12" t="str">
        <x:v>Do not fabricate absent salaries, qualifications, tools or employer names. 经验不限 is an observed category, not missing data.</x:v>
      </x:c>
      <x:c r="D18" s="3"/>
      <x:c r="E18" s="3"/>
      <x:c r="F18" s="3"/>
      <x:c r="G18" s="3"/>
      <x:c r="H18" s="3"/>
      <x:c r="I18" s="3"/>
    </x:row>
    <x:row r="19" ht="57" customHeight="1">
      <x:c r="A19" s="17" t="str">
        <x:v>Cleaning</x:v>
      </x:c>
      <x:c r="B19" s="17" t="str">
        <x:v>Skills and JD</x:v>
      </x:c>
      <x:c r="C19" s="17" t="str">
        <x:v>Extract supported skills; normalize SQL/Python/Power BI names. Summarize observed duties in Chinese without presenting the summary as a full quotation.</x:v>
      </x:c>
      <x:c r="D19" s="3"/>
      <x:c r="E19" s="3"/>
      <x:c r="F19" s="3"/>
      <x:c r="G19" s="3"/>
      <x:c r="H19" s="3"/>
      <x:c r="I19" s="3"/>
    </x:row>
    <x:row r="20" ht="57" customHeight="1">
      <x:c r="A20" s="12" t="str">
        <x:v>Cleaning</x:v>
      </x:c>
      <x:c r="B20" s="12" t="str">
        <x:v>Salary</x:v>
      </x:c>
      <x:c r="C20" s="12" t="str">
        <x:v>Preserve the original monthly range and any 13/14/15/16/17薪 suffix. Do not infer 12 payments when the suffix is absent.</x:v>
      </x:c>
      <x:c r="D20" s="3"/>
      <x:c r="E20" s="3"/>
      <x:c r="F20" s="3"/>
      <x:c r="G20" s="3"/>
      <x:c r="H20" s="3"/>
      <x:c r="I20" s="3"/>
    </x:row>
    <x:row r="21" ht="57" customHeight="1">
      <x:c r="A21" s="17" t="str">
        <x:v>Cleaning</x:v>
      </x:c>
      <x:c r="B21" s="17" t="str">
        <x:v>City</x:v>
      </x:c>
      <x:c r="C21" s="17" t="str">
        <x:v>Use the location shown in the individual posting card, even if the listing-page title names another city.</x:v>
      </x:c>
      <x:c r="D21" s="3"/>
      <x:c r="E21" s="3"/>
      <x:c r="F21" s="3"/>
      <x:c r="G21" s="3"/>
      <x:c r="H21" s="3"/>
      <x:c r="I21" s="3"/>
    </x:row>
    <x:row r="22" ht="57" customHeight="1">
      <x:c r="A22" s="12" t="str">
        <x:v>Cleaning</x:v>
      </x:c>
      <x:c r="B22" s="12" t="str">
        <x:v>Industry</x:v>
      </x:c>
      <x:c r="C22" s="12" t="str">
        <x:v>Map source company-sector labels to eight sectors. Log explicit business-unit overrides and same-company supporting pages in the record-level coding sheet.</x:v>
      </x:c>
      <x:c r="D22" s="3"/>
      <x:c r="E22" s="3"/>
      <x:c r="F22" s="3"/>
      <x:c r="G22" s="3"/>
      <x:c r="H22" s="3"/>
      <x:c r="I22" s="3"/>
    </x:row>
    <x:row r="23" ht="57" customHeight="1">
      <x:c r="A23" s="17" t="str">
        <x:v>Cleaning</x:v>
      </x:c>
      <x:c r="B23" s="17" t="str">
        <x:v>Source and date</x:v>
      </x:c>
      <x:c r="C23" s="17" t="str">
        <x:v>Source=BOSS直聘; Collection_Date=2026-09-28. Listing URLs may repeat across different jobs. Original posting dates and current active status are not verified.</x:v>
      </x:c>
      <x:c r="D23" s="3"/>
      <x:c r="E23" s="3"/>
      <x:c r="F23" s="3"/>
      <x:c r="G23" s="3"/>
      <x:c r="H23" s="3"/>
      <x:c r="I23" s="3"/>
    </x:row>
    <x:row r="24" ht="57" customHeight="1">
      <x:c r="A24" s="12" t="str">
        <x:v>Cleaning</x:v>
      </x:c>
      <x:c r="B24" s="12" t="str">
        <x:v>Validation</x:v>
      </x:c>
      <x:c r="C24" s="12" t="str">
        <x:v>Check 100 rows, 15 required fields, sequential IDs, zero empty cells, duplicate keys, all five cities/eight sectors, and AI flag-term consistency.</x:v>
      </x:c>
      <x:c r="D24" s="3"/>
      <x:c r="E24" s="3"/>
      <x:c r="F24" s="3"/>
      <x:c r="G24" s="3"/>
      <x:c r="H24" s="3"/>
      <x:c r="I24" s="3"/>
    </x:row>
    <x:row r="25" ht="57" customHeight="1">
      <x:c r="A25" s="17" t="str">
        <x:v>Review</x:v>
      </x:c>
      <x:c r="B25" s="17" t="str">
        <x:v>Human review</x:v>
      </x:c>
      <x:c r="C25" s="17" t="str">
        <x:v>AI-assisted extraction and coding are complete. Independent team checking is pending; collection and cleaning owners should resolve any discrepancies against accessible source evidence.</x:v>
      </x:c>
      <x:c r="D25" s="3"/>
      <x:c r="E25" s="3"/>
      <x:c r="F25" s="3"/>
      <x:c r="G25" s="3"/>
      <x:c r="H25" s="3"/>
      <x:c r="I25" s="3"/>
    </x:row>
    <x:row r="26">
      <x:c r="A26" s="3"/>
      <x:c r="B26" s="3"/>
      <x:c r="C26" s="3"/>
      <x:c r="D26" s="3"/>
      <x:c r="E26" s="3"/>
      <x:c r="F26" s="3"/>
      <x:c r="G26" s="3"/>
      <x:c r="H26" s="3"/>
      <x:c r="I26" s="3"/>
    </x:row>
    <x:row r="27">
      <x:c r="A27" s="3"/>
      <x:c r="B27" s="3"/>
      <x:c r="C27" s="3"/>
      <x:c r="D27" s="3"/>
      <x:c r="E27" s="3"/>
      <x:c r="F27" s="3"/>
      <x:c r="G27" s="3"/>
      <x:c r="H27" s="3"/>
      <x:c r="I27" s="3"/>
    </x:row>
    <x:row r="28" ht="29" customHeight="1">
      <x:c r="A28" s="23" t="str">
        <x:v>Role family definitions</x:v>
      </x:c>
      <x:c r="B28" s="23"/>
      <x:c r="C28" s="23"/>
      <x:c r="D28" s="3"/>
      <x:c r="E28" s="3"/>
      <x:c r="F28" s="3"/>
      <x:c r="G28" s="3"/>
      <x:c r="H28" s="3"/>
      <x:c r="I28" s="3"/>
    </x:row>
    <x:row r="29">
      <x:c r="A29" s="3"/>
      <x:c r="B29" s="3"/>
      <x:c r="C29" s="3"/>
      <x:c r="D29" s="3"/>
      <x:c r="E29" s="3"/>
      <x:c r="F29" s="3"/>
      <x:c r="G29" s="3"/>
      <x:c r="H29" s="3"/>
      <x:c r="I29" s="3"/>
    </x:row>
    <x:row r="30" ht="31" customHeight="1">
      <x:c r="A30" s="5" t="str">
        <x:v>Role family</x:v>
      </x:c>
      <x:c r="B30" s="5" t="str">
        <x:v>Target count</x:v>
      </x:c>
      <x:c r="C30" s="5" t="str">
        <x:v>Definition</x:v>
      </x:c>
      <x:c r="D30" s="3"/>
      <x:c r="E30" s="3"/>
      <x:c r="F30" s="3"/>
      <x:c r="G30" s="3"/>
      <x:c r="H30" s="3"/>
      <x:c r="I30" s="3"/>
    </x:row>
    <x:row r="31" ht="54" customHeight="1">
      <x:c r="A31" s="12" t="str">
        <x:v>数据分析师</x:v>
      </x:c>
      <x:c r="B31" s="12" t="n">
        <x:v>40</x:v>
      </x:c>
      <x:c r="C31" s="12" t="str">
        <x:v>Data analyst and analytics specialist roles focused on data interpretation, product, user, risk or business analysis.</x:v>
      </x:c>
      <x:c r="D31" s="3"/>
      <x:c r="E31" s="3"/>
      <x:c r="F31" s="3"/>
      <x:c r="G31" s="3"/>
      <x:c r="H31" s="3"/>
      <x:c r="I31" s="3"/>
    </x:row>
    <x:row r="32" ht="54" customHeight="1">
      <x:c r="A32" s="17" t="str">
        <x:v>商业分析师</x:v>
      </x:c>
      <x:c r="B32" s="17" t="n">
        <x:v>20</x:v>
      </x:c>
      <x:c r="C32" s="17" t="str">
        <x:v>Commercial/business analysis roles, including 商业数据分析 and specialist/manager variants.</x:v>
      </x:c>
      <x:c r="D32" s="3"/>
      <x:c r="E32" s="3"/>
      <x:c r="F32" s="3"/>
      <x:c r="G32" s="3"/>
      <x:c r="H32" s="3"/>
      <x:c r="I32" s="3"/>
    </x:row>
    <x:row r="33" ht="54" customHeight="1">
      <x:c r="A33" s="12" t="str">
        <x:v>BI分析师</x:v>
      </x:c>
      <x:c r="B33" s="12" t="n">
        <x:v>20</x:v>
      </x:c>
      <x:c r="C33" s="12" t="str">
        <x:v>BI/商业智能 analysis, reporting, dashboard, BI requirements or development roles with an explicit analytical component. Includes one Power BI-centered data analyst.</x:v>
      </x:c>
      <x:c r="D33" s="3"/>
      <x:c r="E33" s="3"/>
      <x:c r="F33" s="3"/>
      <x:c r="G33" s="3"/>
      <x:c r="H33" s="3"/>
      <x:c r="I33" s="3"/>
    </x:row>
    <x:row r="34" ht="54" customHeight="1">
      <x:c r="A34" s="17" t="str">
        <x:v>经营分析</x:v>
      </x:c>
      <x:c r="B34" s="17" t="n">
        <x:v>20</x:v>
      </x:c>
      <x:c r="C34" s="17" t="str">
        <x:v>Operating performance, planning, budgeting and management analysis. Includes a data analyst explicitly focused on 经营分析.</x:v>
      </x:c>
      <x:c r="D34" s="3"/>
      <x:c r="E34" s="3"/>
      <x:c r="F34" s="3"/>
      <x:c r="G34" s="3"/>
      <x:c r="H34" s="3"/>
      <x:c r="I34" s="3"/>
    </x:row>
    <x:row r="35">
      <x:c r="A35" s="3"/>
      <x:c r="B35" s="3"/>
      <x:c r="C35" s="3"/>
      <x:c r="D35" s="3"/>
      <x:c r="E35" s="3"/>
      <x:c r="F35" s="3"/>
      <x:c r="G35" s="3"/>
      <x:c r="H35" s="3"/>
      <x:c r="I35" s="3"/>
    </x:row>
    <x:row r="36">
      <x:c r="A36" s="3"/>
      <x:c r="B36" s="3"/>
      <x:c r="C36" s="3"/>
      <x:c r="D36" s="3"/>
      <x:c r="E36" s="3"/>
      <x:c r="F36" s="3"/>
      <x:c r="G36" s="3"/>
      <x:c r="H36" s="3"/>
      <x:c r="I36" s="3"/>
    </x:row>
    <x:row r="37" ht="29" customHeight="1">
      <x:c r="A37" s="23" t="str">
        <x:v>Industry standardization</x:v>
      </x:c>
      <x:c r="B37" s="23"/>
      <x:c r="C37" s="23"/>
      <x:c r="D37" s="3"/>
      <x:c r="E37" s="3"/>
      <x:c r="F37" s="3"/>
      <x:c r="G37" s="3"/>
      <x:c r="H37" s="3"/>
      <x:c r="I37" s="3"/>
    </x:row>
    <x:row r="38">
      <x:c r="A38" s="3"/>
      <x:c r="B38" s="3"/>
      <x:c r="C38" s="3"/>
      <x:c r="D38" s="3"/>
      <x:c r="E38" s="3"/>
      <x:c r="F38" s="3"/>
      <x:c r="G38" s="3"/>
      <x:c r="H38" s="3"/>
      <x:c r="I38" s="3"/>
    </x:row>
    <x:row r="39" ht="95" customHeight="1">
      <x:c r="A39" s="5" t="str">
        <x:v>Industry</x:v>
      </x:c>
      <x:c r="B39" s="5" t="str">
        <x:v>Source labels</x:v>
      </x:c>
      <x:c r="C39" s="5" t="str">
        <x:v>Interpretation</x:v>
      </x:c>
      <x:c r="D39" s="3"/>
      <x:c r="E39" s="3"/>
      <x:c r="F39" s="3"/>
      <x:c r="G39" s="3"/>
      <x:c r="H39" s="3"/>
      <x:c r="I39" s="3"/>
    </x:row>
    <x:row r="40" ht="95" customHeight="1">
      <x:c r="A40" s="12" t="str">
        <x:v>互联网/科技</x:v>
      </x:c>
      <x:c r="B40" s="12" t="str">
        <x:v>互联网; 计算机软件; 大数据; 游戏; 移动互联网; 汽车智能网联</x:v>
      </x:c>
      <x:c r="C40" s="12" t="str">
        <x:v>Use the displayed broad company sector unless an explicit business-unit override is recorded.</x:v>
      </x:c>
      <x:c r="D40" s="3"/>
      <x:c r="E40" s="3"/>
      <x:c r="F40" s="3"/>
      <x:c r="G40" s="3"/>
      <x:c r="H40" s="3"/>
      <x:c r="I40" s="3"/>
    </x:row>
    <x:row r="41" ht="95" customHeight="1">
      <x:c r="A41" s="17" t="str">
        <x:v>金融科技</x:v>
      </x:c>
      <x:c r="B41" s="17" t="str">
        <x:v>互联网金融; explicitly identified digital financial business</x:v>
      </x:c>
      <x:c r="C41" s="17" t="str">
        <x:v>Overrides: 蚂蚁集团钱塘征信、平安银行、度小满. These are research classifications, not claims about legal licensing.</x:v>
      </x:c>
      <x:c r="D41" s="3"/>
      <x:c r="E41" s="3"/>
      <x:c r="F41" s="3"/>
      <x:c r="G41" s="3"/>
      <x:c r="H41" s="3"/>
      <x:c r="I41" s="3"/>
    </x:row>
    <x:row r="42" ht="95" customHeight="1">
      <x:c r="A42" s="12" t="str">
        <x:v>电子商务</x:v>
      </x:c>
      <x:c r="B42" s="12" t="str">
        <x:v>电子商务</x:v>
      </x:c>
      <x:c r="C42" s="12" t="str">
        <x:v>Retain this category where shown, even when the company sells consumer goods.</x:v>
      </x:c>
      <x:c r="D42" s="3"/>
      <x:c r="E42" s="3"/>
      <x:c r="F42" s="3"/>
      <x:c r="G42" s="3"/>
      <x:c r="H42" s="3"/>
      <x:c r="I42" s="3"/>
    </x:row>
    <x:row r="43" ht="95" customHeight="1">
      <x:c r="A43" s="17" t="str">
        <x:v>人工智能</x:v>
      </x:c>
      <x:c r="B43" s="17" t="str">
        <x:v>人工智能</x:v>
      </x:c>
      <x:c r="C43" s="17" t="str">
        <x:v>Company-sector classification alone does not imply AI_Required=1.</x:v>
      </x:c>
      <x:c r="D43" s="3"/>
      <x:c r="E43" s="3"/>
      <x:c r="F43" s="3"/>
      <x:c r="G43" s="3"/>
      <x:c r="H43" s="3"/>
      <x:c r="I43" s="3"/>
    </x:row>
    <x:row r="44" ht="95" customHeight="1">
      <x:c r="A44" s="12" t="str">
        <x:v>制造业</x:v>
      </x:c>
      <x:c r="B44" s="12" t="str">
        <x:v>智能硬件; 消费电子; 电子/硬件开发; 家具/家居; 家用电器; 通信/网络设备</x:v>
      </x:c>
      <x:c r="C44" s="12" t="str">
        <x:v>Broader analytical grouping of hardware and manufacturing sectors.</x:v>
      </x:c>
      <x:c r="D44" s="3"/>
      <x:c r="E44" s="3"/>
      <x:c r="F44" s="3"/>
      <x:c r="G44" s="3"/>
      <x:c r="H44" s="3"/>
      <x:c r="I44" s="3"/>
    </x:row>
    <x:row r="45" ht="95" customHeight="1">
      <x:c r="A45" s="17" t="str">
        <x:v>新能源</x:v>
      </x:c>
      <x:c r="B45" s="17" t="str">
        <x:v>风电; 新能源; 新能源汽车</x:v>
      </x:c>
      <x:c r="C45" s="17" t="str">
        <x:v>Explicit business-unit override for 小米汽车电动汽车岗位.</x:v>
      </x:c>
      <x:c r="D45" s="3"/>
      <x:c r="E45" s="3"/>
      <x:c r="F45" s="3"/>
      <x:c r="G45" s="3"/>
      <x:c r="H45" s="3"/>
      <x:c r="I45" s="3"/>
    </x:row>
    <x:row r="46" ht="95" customHeight="1">
      <x:c r="A46" s="12" t="str">
        <x:v>物流</x:v>
      </x:c>
      <x:c r="B46" s="12" t="str">
        <x:v>物流/仓储; 快递; 跨境物流; 公路物流</x:v>
      </x:c>
      <x:c r="C46" s="12" t="str">
        <x:v>Logistics and warehousing grouping.</x:v>
      </x:c>
      <x:c r="D46" s="3"/>
      <x:c r="E46" s="3"/>
      <x:c r="F46" s="3"/>
      <x:c r="G46" s="3"/>
      <x:c r="H46" s="3"/>
      <x:c r="I46" s="3"/>
    </x:row>
    <x:row r="47" ht="95" customHeight="1">
      <x:c r="A47" s="17" t="str">
        <x:v>消费品</x:v>
      </x:c>
      <x:c r="B47" s="17" t="str">
        <x:v>批发/零售; 新零售; 日化; 服装/纺织; 食品/饮料/烟酒</x:v>
      </x:c>
      <x:c r="C47" s="17" t="str">
        <x:v>Consumer products and associated retail grouping.</x:v>
      </x:c>
      <x:c r="D47" s="3"/>
      <x:c r="E47" s="3"/>
      <x:c r="F47" s="3"/>
      <x:c r="G47" s="3"/>
      <x:c r="H47" s="3"/>
      <x:c r="I47" s="3"/>
    </x:row>
    <x:row r="48">
      <x:c r="A48" s="3"/>
      <x:c r="B48" s="3"/>
      <x:c r="C48" s="3"/>
      <x:c r="D48" s="3"/>
      <x:c r="E48" s="3"/>
      <x:c r="F48" s="3"/>
      <x:c r="G48" s="3"/>
      <x:c r="H48" s="3"/>
      <x:c r="I48" s="3"/>
    </x:row>
    <x:row r="49">
      <x:c r="A49" s="3"/>
      <x:c r="B49" s="3"/>
      <x:c r="C49" s="3"/>
      <x:c r="D49" s="3"/>
      <x:c r="E49" s="3"/>
      <x:c r="F49" s="3"/>
      <x:c r="G49" s="3"/>
      <x:c r="H49" s="3"/>
      <x:c r="I49" s="3"/>
    </x:row>
    <x:row r="50" ht="29" customHeight="1">
      <x:c r="A50" s="23" t="str">
        <x:v>Record-level coding sheet</x:v>
      </x:c>
      <x:c r="B50" s="23"/>
      <x:c r="C50" s="23"/>
      <x:c r="D50" s="23"/>
      <x:c r="E50" s="23"/>
      <x:c r="F50" s="23"/>
      <x:c r="G50" s="23"/>
      <x:c r="H50" s="23"/>
      <x:c r="I50" s="23"/>
    </x:row>
    <x:row r="51">
      <x:c r="A51" s="3"/>
      <x:c r="B51" s="3"/>
      <x:c r="C51" s="3"/>
      <x:c r="D51" s="3"/>
      <x:c r="E51" s="3"/>
      <x:c r="F51" s="3"/>
      <x:c r="G51" s="3"/>
      <x:c r="H51" s="3"/>
      <x:c r="I51" s="3"/>
    </x:row>
    <x:row r="52" ht="48" customHeight="1">
      <x:c r="A52" s="5" t="str">
        <x:v>Job_ID</x:v>
      </x:c>
      <x:c r="B52" s="5" t="str">
        <x:v>Role_Family</x:v>
      </x:c>
      <x:c r="C52" s="5" t="str">
        <x:v>Original_Industry_and_Basis</x:v>
      </x:c>
      <x:c r="D52" s="5" t="str">
        <x:v>Industry</x:v>
      </x:c>
      <x:c r="E52" s="5" t="str">
        <x:v>Source_Key</x:v>
      </x:c>
      <x:c r="F52" s="5" t="str">
        <x:v>Supplementary_Industry_URL</x:v>
      </x:c>
      <x:c r="G52" s="5" t="str">
        <x:v>Evidence_Scope</x:v>
      </x:c>
      <x:c r="H52" s="5" t="str">
        <x:v>AI_Coding_Basis</x:v>
      </x:c>
      <x:c r="I52" s="5" t="str">
        <x:v>Team_Review_Status</x:v>
      </x:c>
    </x:row>
    <x:row r="53" ht="54" customHeight="1">
      <x:c r="A53" s="13" t="str">
        <x:v>001</x:v>
      </x:c>
      <x:c r="B53" s="12" t="str">
        <x:v>数据分析师</x:v>
      </x:c>
      <x:c r="C53" s="12" t="str">
        <x:v>人工智能</x:v>
      </x:c>
      <x:c r="D53" s="12" t="str">
        <x:v>人工智能</x:v>
      </x:c>
      <x:c r="E53" s="12" t="str">
        <x:v>energy</x:v>
      </x:c>
      <x:c r="F53" s="12" t="str">
        <x:v>无补充来源</x:v>
      </x:c>
      <x:c r="G53" s="12" t="str">
        <x:v>公开岗位卡片摘要</x:v>
      </x:c>
      <x:c r="H53" s="12" t="str">
        <x:v>以统计分析和机器学习研究电力业务，提供改进策略。</x:v>
      </x:c>
      <x:c r="I53" s="12" t="str">
        <x:v>待团队复核</x:v>
      </x:c>
    </x:row>
    <x:row r="54" ht="54" customHeight="1">
      <x:c r="A54" s="18" t="str">
        <x:v>002</x:v>
      </x:c>
      <x:c r="B54" s="17" t="str">
        <x:v>数据分析师</x:v>
      </x:c>
      <x:c r="C54" s="17" t="str">
        <x:v>智能硬件/消费电子</x:v>
      </x:c>
      <x:c r="D54" s="17" t="str">
        <x:v>制造业</x:v>
      </x:c>
      <x:c r="E54" s="17" t="str">
        <x:v>szbiz</x:v>
      </x:c>
      <x:c r="F54" s="17" t="str">
        <x:v>无补充来源</x:v>
      </x:c>
      <x:c r="G54" s="17" t="str">
        <x:v>公开岗位卡片摘要</x:v>
      </x:c>
      <x:c r="H54" s="17" t="str">
        <x:v>公开摘要中未见AI相关要求；完整JD未核实。</x:v>
      </x:c>
      <x:c r="I54" s="17" t="str">
        <x:v>待团队复核</x:v>
      </x:c>
    </x:row>
    <x:row r="55" ht="54" customHeight="1">
      <x:c r="A55" s="13" t="str">
        <x:v>003</x:v>
      </x:c>
      <x:c r="B55" s="12" t="str">
        <x:v>数据分析师</x:v>
      </x:c>
      <x:c r="C55" s="12" t="str">
        <x:v>互联网</x:v>
      </x:c>
      <x:c r="D55" s="12" t="str">
        <x:v>互联网/科技</x:v>
      </x:c>
      <x:c r="E55" s="12" t="str">
        <x:v>szbiz</x:v>
      </x:c>
      <x:c r="F55" s="12" t="str">
        <x:v>无补充来源</x:v>
      </x:c>
      <x:c r="G55" s="12" t="str">
        <x:v>公开岗位卡片摘要</x:v>
      </x:c>
      <x:c r="H55" s="12" t="str">
        <x:v>分析抖音创作业务，通过AIGC应用寻找增长机会。</x:v>
      </x:c>
      <x:c r="I55" s="12" t="str">
        <x:v>待团队复核</x:v>
      </x:c>
    </x:row>
    <x:row r="56" ht="54" customHeight="1">
      <x:c r="A56" s="18" t="str">
        <x:v>004</x:v>
      </x:c>
      <x:c r="B56" s="17" t="str">
        <x:v>数据分析师</x:v>
      </x:c>
      <x:c r="C56" s="17" t="str">
        <x:v>互联网</x:v>
      </x:c>
      <x:c r="D56" s="17" t="str">
        <x:v>互联网/科技</x:v>
      </x:c>
      <x:c r="E56" s="17" t="str">
        <x:v>ali</x:v>
      </x:c>
      <x:c r="F56" s="17" t="str">
        <x:v>无补充来源</x:v>
      </x:c>
      <x:c r="G56" s="17" t="str">
        <x:v>公开岗位卡片摘要</x:v>
      </x:c>
      <x:c r="H56" s="17" t="str">
        <x:v>制作管理月报，借助AI提高输出效率并完成日常分析。</x:v>
      </x:c>
      <x:c r="I56" s="17" t="str">
        <x:v>待团队复核</x:v>
      </x:c>
    </x:row>
    <x:row r="57" ht="54" customHeight="1">
      <x:c r="A57" s="13" t="str">
        <x:v>005</x:v>
      </x:c>
      <x:c r="B57" s="12" t="str">
        <x:v>数据分析师</x:v>
      </x:c>
      <x:c r="C57" s="12" t="str">
        <x:v>互联网</x:v>
      </x:c>
      <x:c r="D57" s="12" t="str">
        <x:v>互联网/科技</x:v>
      </x:c>
      <x:c r="E57" s="12" t="str">
        <x:v>ali</x:v>
      </x:c>
      <x:c r="F57" s="12" t="str">
        <x:v>无补充来源</x:v>
      </x:c>
      <x:c r="G57" s="12" t="str">
        <x:v>公开岗位卡片摘要</x:v>
      </x:c>
      <x:c r="H57" s="12" t="str">
        <x:v>公开摘要中未见AI相关要求；完整JD未核实。</x:v>
      </x:c>
      <x:c r="I57" s="12" t="str">
        <x:v>待团队复核</x:v>
      </x:c>
    </x:row>
    <x:row r="58" ht="54" customHeight="1">
      <x:c r="A58" s="18" t="str">
        <x:v>006</x:v>
      </x:c>
      <x:c r="B58" s="17" t="str">
        <x:v>数据分析师</x:v>
      </x:c>
      <x:c r="C58" s="17" t="str">
        <x:v>互联网</x:v>
      </x:c>
      <x:c r="D58" s="17" t="str">
        <x:v>互联网/科技</x:v>
      </x:c>
      <x:c r="E58" s="17" t="str">
        <x:v>ali</x:v>
      </x:c>
      <x:c r="F58" s="17" t="str">
        <x:v>无补充来源</x:v>
      </x:c>
      <x:c r="G58" s="17" t="str">
        <x:v>公开岗位卡片摘要</x:v>
      </x:c>
      <x:c r="H58" s="17" t="str">
        <x:v>分析电商AI产品，建立业务指标并提供策略支持。</x:v>
      </x:c>
      <x:c r="I58" s="17" t="str">
        <x:v>待团队复核</x:v>
      </x:c>
    </x:row>
    <x:row r="59" ht="54" customHeight="1">
      <x:c r="A59" s="13" t="str">
        <x:v>007</x:v>
      </x:c>
      <x:c r="B59" s="12" t="str">
        <x:v>数据分析师</x:v>
      </x:c>
      <x:c r="C59" s="12" t="str">
        <x:v>电子商务</x:v>
      </x:c>
      <x:c r="D59" s="12" t="str">
        <x:v>电子商务</x:v>
      </x:c>
      <x:c r="E59" s="12" t="str">
        <x:v>gzda</x:v>
      </x:c>
      <x:c r="F59" s="12" t="str">
        <x:v>无补充来源</x:v>
      </x:c>
      <x:c r="G59" s="12" t="str">
        <x:v>公开岗位卡片摘要</x:v>
      </x:c>
      <x:c r="H59" s="12" t="str">
        <x:v>公开摘要中未见AI相关要求；完整JD未核实。</x:v>
      </x:c>
      <x:c r="I59" s="12" t="str">
        <x:v>待团队复核</x:v>
      </x:c>
    </x:row>
    <x:row r="60" ht="54" customHeight="1">
      <x:c r="A60" s="18" t="str">
        <x:v>008</x:v>
      </x:c>
      <x:c r="B60" s="17" t="str">
        <x:v>数据分析师</x:v>
      </x:c>
      <x:c r="C60" s="17" t="str">
        <x:v>快递</x:v>
      </x:c>
      <x:c r="D60" s="17" t="str">
        <x:v>物流</x:v>
      </x:c>
      <x:c r="E60" s="17" t="str">
        <x:v>gzda</x:v>
      </x:c>
      <x:c r="F60" s="17" t="str">
        <x:v>无补充来源</x:v>
      </x:c>
      <x:c r="G60" s="17" t="str">
        <x:v>公开岗位卡片摘要</x:v>
      </x:c>
      <x:c r="H60" s="17" t="str">
        <x:v>公开摘要中未见AI相关要求；完整JD未核实。</x:v>
      </x:c>
      <x:c r="I60" s="17" t="str">
        <x:v>待团队复核</x:v>
      </x:c>
    </x:row>
    <x:row r="61" ht="54" customHeight="1">
      <x:c r="A61" s="13" t="str">
        <x:v>009</x:v>
      </x:c>
      <x:c r="B61" s="12" t="str">
        <x:v>数据分析师</x:v>
      </x:c>
      <x:c r="C61" s="12" t="str">
        <x:v>电子/硬件开发</x:v>
      </x:c>
      <x:c r="D61" s="12" t="str">
        <x:v>制造业</x:v>
      </x:c>
      <x:c r="E61" s="12" t="str">
        <x:v>gzda</x:v>
      </x:c>
      <x:c r="F61" s="12" t="str">
        <x:v>无补充来源</x:v>
      </x:c>
      <x:c r="G61" s="12" t="str">
        <x:v>公开岗位卡片摘要</x:v>
      </x:c>
      <x:c r="H61" s="12" t="str">
        <x:v>公开摘要中未见AI相关要求；完整JD未核实。</x:v>
      </x:c>
      <x:c r="I61" s="12" t="str">
        <x:v>待团队复核</x:v>
      </x:c>
    </x:row>
    <x:row r="62" ht="54" customHeight="1">
      <x:c r="A62" s="18" t="str">
        <x:v>010</x:v>
      </x:c>
      <x:c r="B62" s="17" t="str">
        <x:v>数据分析师</x:v>
      </x:c>
      <x:c r="C62" s="17" t="str">
        <x:v>家具/家居</x:v>
      </x:c>
      <x:c r="D62" s="17" t="str">
        <x:v>制造业</x:v>
      </x:c>
      <x:c r="E62" s="17" t="str">
        <x:v>gzda</x:v>
      </x:c>
      <x:c r="F62" s="17" t="str">
        <x:v>无补充来源</x:v>
      </x:c>
      <x:c r="G62" s="17" t="str">
        <x:v>公开岗位卡片摘要</x:v>
      </x:c>
      <x:c r="H62" s="17" t="str">
        <x:v>公开摘要中未见AI相关要求；完整JD未核实。</x:v>
      </x:c>
      <x:c r="I62" s="17" t="str">
        <x:v>待团队复核</x:v>
      </x:c>
    </x:row>
    <x:row r="63" ht="54" customHeight="1">
      <x:c r="A63" s="13" t="str">
        <x:v>011</x:v>
      </x:c>
      <x:c r="B63" s="12" t="str">
        <x:v>数据分析师</x:v>
      </x:c>
      <x:c r="C63" s="12" t="str">
        <x:v>互联网</x:v>
      </x:c>
      <x:c r="D63" s="12" t="str">
        <x:v>互联网/科技</x:v>
      </x:c>
      <x:c r="E63" s="12" t="str">
        <x:v>szda</x:v>
      </x:c>
      <x:c r="F63" s="12" t="str">
        <x:v>无补充来源</x:v>
      </x:c>
      <x:c r="G63" s="12" t="str">
        <x:v>公开岗位卡片摘要</x:v>
      </x:c>
      <x:c r="H63" s="12" t="str">
        <x:v>公开摘要中未见AI相关要求；完整JD未核实。</x:v>
      </x:c>
      <x:c r="I63" s="12" t="str">
        <x:v>待团队复核</x:v>
      </x:c>
    </x:row>
    <x:row r="64" ht="54" customHeight="1">
      <x:c r="A64" s="18" t="str">
        <x:v>012</x:v>
      </x:c>
      <x:c r="B64" s="17" t="str">
        <x:v>数据分析师</x:v>
      </x:c>
      <x:c r="C64" s="17" t="str">
        <x:v>服装/纺织</x:v>
      </x:c>
      <x:c r="D64" s="17" t="str">
        <x:v>消费品</x:v>
      </x:c>
      <x:c r="E64" s="17" t="str">
        <x:v>szda</x:v>
      </x:c>
      <x:c r="F64" s="17" t="str">
        <x:v>无补充来源</x:v>
      </x:c>
      <x:c r="G64" s="17" t="str">
        <x:v>公开岗位卡片摘要</x:v>
      </x:c>
      <x:c r="H64" s="17" t="str">
        <x:v>公开摘要中未见AI相关要求；完整JD未核实。</x:v>
      </x:c>
      <x:c r="I64" s="17" t="str">
        <x:v>待团队复核</x:v>
      </x:c>
    </x:row>
    <x:row r="65" ht="54" customHeight="1">
      <x:c r="A65" s="13" t="str">
        <x:v>013</x:v>
      </x:c>
      <x:c r="B65" s="12" t="str">
        <x:v>数据分析师</x:v>
      </x:c>
      <x:c r="C65" s="12" t="str">
        <x:v>电子商务</x:v>
      </x:c>
      <x:c r="D65" s="12" t="str">
        <x:v>电子商务</x:v>
      </x:c>
      <x:c r="E65" s="12" t="str">
        <x:v>szda</x:v>
      </x:c>
      <x:c r="F65" s="12" t="str">
        <x:v>无补充来源</x:v>
      </x:c>
      <x:c r="G65" s="12" t="str">
        <x:v>公开岗位卡片摘要</x:v>
      </x:c>
      <x:c r="H65" s="12" t="str">
        <x:v>公开摘要中未见AI相关要求；完整JD未核实。</x:v>
      </x:c>
      <x:c r="I65" s="12" t="str">
        <x:v>待团队复核</x:v>
      </x:c>
    </x:row>
    <x:row r="66" ht="54" customHeight="1">
      <x:c r="A66" s="18" t="str">
        <x:v>014</x:v>
      </x:c>
      <x:c r="B66" s="17" t="str">
        <x:v>数据分析师</x:v>
      </x:c>
      <x:c r="C66" s="17" t="str">
        <x:v>互联网</x:v>
      </x:c>
      <x:c r="D66" s="17" t="str">
        <x:v>互联网/科技</x:v>
      </x:c>
      <x:c r="E66" s="17" t="str">
        <x:v>szda</x:v>
      </x:c>
      <x:c r="F66" s="17" t="str">
        <x:v>无补充来源</x:v>
      </x:c>
      <x:c r="G66" s="17" t="str">
        <x:v>公开岗位卡片摘要</x:v>
      </x:c>
      <x:c r="H66" s="17" t="str">
        <x:v>诊断服务瓶颈，探索情感分析和意图识别等技术应用。</x:v>
      </x:c>
      <x:c r="I66" s="17" t="str">
        <x:v>待团队复核</x:v>
      </x:c>
    </x:row>
    <x:row r="67" ht="54" customHeight="1">
      <x:c r="A67" s="13" t="str">
        <x:v>015</x:v>
      </x:c>
      <x:c r="B67" s="12" t="str">
        <x:v>数据分析师</x:v>
      </x:c>
      <x:c r="C67" s="12" t="str">
        <x:v>计算机软件</x:v>
      </x:c>
      <x:c r="D67" s="12" t="str">
        <x:v>互联网/科技</x:v>
      </x:c>
      <x:c r="E67" s="12" t="str">
        <x:v>shda</x:v>
      </x:c>
      <x:c r="F67" s="12" t="str">
        <x:v>无补充来源</x:v>
      </x:c>
      <x:c r="G67" s="12" t="str">
        <x:v>公开岗位卡片摘要</x:v>
      </x:c>
      <x:c r="H67" s="12" t="str">
        <x:v>公开摘要中未见AI相关要求；完整JD未核实。</x:v>
      </x:c>
      <x:c r="I67" s="12" t="str">
        <x:v>待团队复核</x:v>
      </x:c>
    </x:row>
    <x:row r="68" ht="54" customHeight="1">
      <x:c r="A68" s="18" t="str">
        <x:v>016</x:v>
      </x:c>
      <x:c r="B68" s="17" t="str">
        <x:v>数据分析师</x:v>
      </x:c>
      <x:c r="C68" s="17" t="str">
        <x:v>汽车智能网联</x:v>
      </x:c>
      <x:c r="D68" s="17" t="str">
        <x:v>互联网/科技</x:v>
      </x:c>
      <x:c r="E68" s="17" t="str">
        <x:v>shda</x:v>
      </x:c>
      <x:c r="F68" s="17" t="str">
        <x:v>无补充来源</x:v>
      </x:c>
      <x:c r="G68" s="17" t="str">
        <x:v>公开岗位卡片摘要</x:v>
      </x:c>
      <x:c r="H68" s="17" t="str">
        <x:v>公开摘要中未见AI相关要求；完整JD未核实。</x:v>
      </x:c>
      <x:c r="I68" s="17" t="str">
        <x:v>待团队复核</x:v>
      </x:c>
    </x:row>
    <x:row r="69" ht="54" customHeight="1">
      <x:c r="A69" s="13" t="str">
        <x:v>017</x:v>
      </x:c>
      <x:c r="B69" s="12" t="str">
        <x:v>数据分析师</x:v>
      </x:c>
      <x:c r="C69" s="12" t="str">
        <x:v>互联网（岗位为新能源汽车业务）</x:v>
      </x:c>
      <x:c r="D69" s="12" t="str">
        <x:v>新能源</x:v>
      </x:c>
      <x:c r="E69" s="12" t="str">
        <x:v>shda</x:v>
      </x:c>
      <x:c r="F69" s="12" t="str">
        <x:v>无补充来源</x:v>
      </x:c>
      <x:c r="G69" s="12" t="str">
        <x:v>公开岗位卡片摘要</x:v>
      </x:c>
      <x:c r="H69" s="12" t="str">
        <x:v>公开摘要中未见AI相关要求；完整JD未核实。</x:v>
      </x:c>
      <x:c r="I69" s="12" t="str">
        <x:v>待团队复核</x:v>
      </x:c>
    </x:row>
    <x:row r="70" ht="54" customHeight="1">
      <x:c r="A70" s="18" t="str">
        <x:v>018</x:v>
      </x:c>
      <x:c r="B70" s="17" t="str">
        <x:v>数据分析师</x:v>
      </x:c>
      <x:c r="C70" s="17" t="str">
        <x:v>互联网金融</x:v>
      </x:c>
      <x:c r="D70" s="17" t="str">
        <x:v>金融科技</x:v>
      </x:c>
      <x:c r="E70" s="17" t="str">
        <x:v>shda</x:v>
      </x:c>
      <x:c r="F70" s="17" t="str">
        <x:v>无补充来源</x:v>
      </x:c>
      <x:c r="G70" s="17" t="str">
        <x:v>公开岗位卡片摘要</x:v>
      </x:c>
      <x:c r="H70" s="17" t="str">
        <x:v>公开摘要中未见AI相关要求；完整JD未核实。</x:v>
      </x:c>
      <x:c r="I70" s="17" t="str">
        <x:v>待团队复核</x:v>
      </x:c>
    </x:row>
    <x:row r="71" ht="54" customHeight="1">
      <x:c r="A71" s="13" t="str">
        <x:v>019</x:v>
      </x:c>
      <x:c r="B71" s="12" t="str">
        <x:v>数据分析师</x:v>
      </x:c>
      <x:c r="C71" s="12" t="str">
        <x:v>互联网</x:v>
      </x:c>
      <x:c r="D71" s="12" t="str">
        <x:v>互联网/科技</x:v>
      </x:c>
      <x:c r="E71" s="12" t="str">
        <x:v>szda2</x:v>
      </x:c>
      <x:c r="F71" s="12" t="str">
        <x:v>无补充来源</x:v>
      </x:c>
      <x:c r="G71" s="12" t="str">
        <x:v>公开岗位卡片摘要</x:v>
      </x:c>
      <x:c r="H71" s="12" t="str">
        <x:v>公开摘要中未见AI相关要求；完整JD未核实。</x:v>
      </x:c>
      <x:c r="I71" s="12" t="str">
        <x:v>待团队复核</x:v>
      </x:c>
    </x:row>
    <x:row r="72" ht="54" customHeight="1">
      <x:c r="A72" s="18" t="str">
        <x:v>020</x:v>
      </x:c>
      <x:c r="B72" s="17" t="str">
        <x:v>数据分析师</x:v>
      </x:c>
      <x:c r="C72" s="17" t="str">
        <x:v>游戏</x:v>
      </x:c>
      <x:c r="D72" s="17" t="str">
        <x:v>互联网/科技</x:v>
      </x:c>
      <x:c r="E72" s="17" t="str">
        <x:v>szda2</x:v>
      </x:c>
      <x:c r="F72" s="17" t="str">
        <x:v>无补充来源</x:v>
      </x:c>
      <x:c r="G72" s="17" t="str">
        <x:v>公开岗位卡片摘要</x:v>
      </x:c>
      <x:c r="H72" s="17" t="str">
        <x:v>公开摘要中未见AI相关要求；完整JD未核实。</x:v>
      </x:c>
      <x:c r="I72" s="17" t="str">
        <x:v>待团队复核</x:v>
      </x:c>
    </x:row>
    <x:row r="73" ht="54" customHeight="1">
      <x:c r="A73" s="13" t="str">
        <x:v>021</x:v>
      </x:c>
      <x:c r="B73" s="12" t="str">
        <x:v>数据分析师</x:v>
      </x:c>
      <x:c r="C73" s="12" t="str">
        <x:v>智能硬件</x:v>
      </x:c>
      <x:c r="D73" s="12" t="str">
        <x:v>制造业</x:v>
      </x:c>
      <x:c r="E73" s="12" t="str">
        <x:v>szda2</x:v>
      </x:c>
      <x:c r="F73" s="12" t="str">
        <x:v>无补充来源</x:v>
      </x:c>
      <x:c r="G73" s="12" t="str">
        <x:v>公开岗位卡片摘要</x:v>
      </x:c>
      <x:c r="H73" s="12" t="str">
        <x:v>公开摘要中未见AI相关要求；完整JD未核实。</x:v>
      </x:c>
      <x:c r="I73" s="12" t="str">
        <x:v>待团队复核</x:v>
      </x:c>
    </x:row>
    <x:row r="74" ht="54" customHeight="1">
      <x:c r="A74" s="18" t="str">
        <x:v>022</x:v>
      </x:c>
      <x:c r="B74" s="17" t="str">
        <x:v>数据分析师</x:v>
      </x:c>
      <x:c r="C74" s="17" t="str">
        <x:v>跨境物流</x:v>
      </x:c>
      <x:c r="D74" s="17" t="str">
        <x:v>物流</x:v>
      </x:c>
      <x:c r="E74" s="17" t="str">
        <x:v>szda2</x:v>
      </x:c>
      <x:c r="F74" s="17" t="str">
        <x:v>无补充来源</x:v>
      </x:c>
      <x:c r="G74" s="17" t="str">
        <x:v>公开岗位卡片摘要</x:v>
      </x:c>
      <x:c r="H74" s="17" t="str">
        <x:v>公开摘要中未见AI相关要求；完整JD未核实。</x:v>
      </x:c>
      <x:c r="I74" s="17" t="str">
        <x:v>待团队复核</x:v>
      </x:c>
    </x:row>
    <x:row r="75" ht="54" customHeight="1">
      <x:c r="A75" s="13" t="str">
        <x:v>023</x:v>
      </x:c>
      <x:c r="B75" s="12" t="str">
        <x:v>数据分析师</x:v>
      </x:c>
      <x:c r="C75" s="12" t="str">
        <x:v>互联网</x:v>
      </x:c>
      <x:c r="D75" s="12" t="str">
        <x:v>互联网/科技</x:v>
      </x:c>
      <x:c r="E75" s="12" t="str">
        <x:v>hzda</x:v>
      </x:c>
      <x:c r="F75" s="12" t="str">
        <x:v>无补充来源</x:v>
      </x:c>
      <x:c r="G75" s="12" t="str">
        <x:v>公开岗位卡片摘要</x:v>
      </x:c>
      <x:c r="H75" s="12" t="str">
        <x:v>公开摘要中未见AI相关要求；完整JD未核实。</x:v>
      </x:c>
      <x:c r="I75" s="12" t="str">
        <x:v>待团队复核</x:v>
      </x:c>
    </x:row>
    <x:row r="76" ht="54" customHeight="1">
      <x:c r="A76" s="18" t="str">
        <x:v>024</x:v>
      </x:c>
      <x:c r="B76" s="17" t="str">
        <x:v>数据分析师</x:v>
      </x:c>
      <x:c r="C76" s="17" t="str">
        <x:v>服装/纺织</x:v>
      </x:c>
      <x:c r="D76" s="17" t="str">
        <x:v>消费品</x:v>
      </x:c>
      <x:c r="E76" s="17" t="str">
        <x:v>gzba</x:v>
      </x:c>
      <x:c r="F76" s="17" t="str">
        <x:v>无补充来源</x:v>
      </x:c>
      <x:c r="G76" s="17" t="str">
        <x:v>公开岗位卡片摘要</x:v>
      </x:c>
      <x:c r="H76" s="17" t="str">
        <x:v>公开摘要中未见AI相关要求；完整JD未核实。</x:v>
      </x:c>
      <x:c r="I76" s="17" t="str">
        <x:v>待团队复核</x:v>
      </x:c>
    </x:row>
    <x:row r="77" ht="54" customHeight="1">
      <x:c r="A77" s="13" t="str">
        <x:v>025</x:v>
      </x:c>
      <x:c r="B77" s="12" t="str">
        <x:v>数据分析师</x:v>
      </x:c>
      <x:c r="C77" s="12" t="str">
        <x:v>人工智能</x:v>
      </x:c>
      <x:c r="D77" s="12" t="str">
        <x:v>人工智能</x:v>
      </x:c>
      <x:c r="E77" s="12" t="str">
        <x:v>hzda2</x:v>
      </x:c>
      <x:c r="F77" s="12" t="str">
        <x:v>无补充来源</x:v>
      </x:c>
      <x:c r="G77" s="12" t="str">
        <x:v>公开岗位卡片摘要</x:v>
      </x:c>
      <x:c r="H77" s="12" t="str">
        <x:v>公开摘要中未见AI相关要求；完整JD未核实。</x:v>
      </x:c>
      <x:c r="I77" s="12" t="str">
        <x:v>待团队复核</x:v>
      </x:c>
    </x:row>
    <x:row r="78" ht="54" customHeight="1">
      <x:c r="A78" s="18" t="str">
        <x:v>026</x:v>
      </x:c>
      <x:c r="B78" s="17" t="str">
        <x:v>数据分析师</x:v>
      </x:c>
      <x:c r="C78" s="17" t="str">
        <x:v>计算机软件</x:v>
      </x:c>
      <x:c r="D78" s="17" t="str">
        <x:v>互联网/科技</x:v>
      </x:c>
      <x:c r="E78" s="17" t="str">
        <x:v>hzda2</x:v>
      </x:c>
      <x:c r="F78" s="17" t="str">
        <x:v>无补充来源</x:v>
      </x:c>
      <x:c r="G78" s="17" t="str">
        <x:v>公开岗位卡片摘要</x:v>
      </x:c>
      <x:c r="H78" s="17" t="str">
        <x:v>公开摘要中未见AI相关要求；完整JD未核实。</x:v>
      </x:c>
      <x:c r="I78" s="17" t="str">
        <x:v>待团队复核</x:v>
      </x:c>
    </x:row>
    <x:row r="79" ht="54" customHeight="1">
      <x:c r="A79" s="13" t="str">
        <x:v>027</x:v>
      </x:c>
      <x:c r="B79" s="12" t="str">
        <x:v>数据分析师</x:v>
      </x:c>
      <x:c r="C79" s="12" t="str">
        <x:v>服装/纺织</x:v>
      </x:c>
      <x:c r="D79" s="12" t="str">
        <x:v>消费品</x:v>
      </x:c>
      <x:c r="E79" s="12" t="str">
        <x:v>hzda2</x:v>
      </x:c>
      <x:c r="F79" s="12" t="str">
        <x:v>无补充来源</x:v>
      </x:c>
      <x:c r="G79" s="12" t="str">
        <x:v>公开岗位卡片摘要</x:v>
      </x:c>
      <x:c r="H79" s="12" t="str">
        <x:v>公开摘要中未见AI相关要求；完整JD未核实。</x:v>
      </x:c>
      <x:c r="I79" s="12" t="str">
        <x:v>待团队复核</x:v>
      </x:c>
    </x:row>
    <x:row r="80" ht="54" customHeight="1">
      <x:c r="A80" s="18" t="str">
        <x:v>028</x:v>
      </x:c>
      <x:c r="B80" s="17" t="str">
        <x:v>数据分析师</x:v>
      </x:c>
      <x:c r="C80" s="17" t="str">
        <x:v>新能源汽车</x:v>
      </x:c>
      <x:c r="D80" s="17" t="str">
        <x:v>新能源</x:v>
      </x:c>
      <x:c r="E80" s="17" t="str">
        <x:v>hzda2</x:v>
      </x:c>
      <x:c r="F80" s="17" t="str">
        <x:v>无补充来源</x:v>
      </x:c>
      <x:c r="G80" s="17" t="str">
        <x:v>公开岗位卡片摘要</x:v>
      </x:c>
      <x:c r="H80" s="17" t="str">
        <x:v>公开摘要中未见AI相关要求；完整JD未核实。</x:v>
      </x:c>
      <x:c r="I80" s="17" t="str">
        <x:v>待团队复核</x:v>
      </x:c>
    </x:row>
    <x:row r="81" ht="54" customHeight="1">
      <x:c r="A81" s="13" t="str">
        <x:v>029</x:v>
      </x:c>
      <x:c r="B81" s="12" t="str">
        <x:v>数据分析师</x:v>
      </x:c>
      <x:c r="C81" s="12" t="str">
        <x:v>互联网</x:v>
      </x:c>
      <x:c r="D81" s="12" t="str">
        <x:v>互联网/科技</x:v>
      </x:c>
      <x:c r="E81" s="12" t="str">
        <x:v>gzbi</x:v>
      </x:c>
      <x:c r="F81" s="12" t="str">
        <x:v>无补充来源</x:v>
      </x:c>
      <x:c r="G81" s="12" t="str">
        <x:v>公开岗位卡片摘要</x:v>
      </x:c>
      <x:c r="H81" s="12" t="str">
        <x:v>公开摘要中未见AI相关要求；完整JD未核实。</x:v>
      </x:c>
      <x:c r="I81" s="12" t="str">
        <x:v>待团队复核</x:v>
      </x:c>
    </x:row>
    <x:row r="82" ht="54" customHeight="1">
      <x:c r="A82" s="18" t="str">
        <x:v>030</x:v>
      </x:c>
      <x:c r="B82" s="17" t="str">
        <x:v>数据分析师</x:v>
      </x:c>
      <x:c r="C82" s="17" t="str">
        <x:v>互联网</x:v>
      </x:c>
      <x:c r="D82" s="17" t="str">
        <x:v>互联网/科技</x:v>
      </x:c>
      <x:c r="E82" s="17" t="str">
        <x:v>bjda</x:v>
      </x:c>
      <x:c r="F82" s="17" t="str">
        <x:v>无补充来源</x:v>
      </x:c>
      <x:c r="G82" s="17" t="str">
        <x:v>公开岗位卡片摘要</x:v>
      </x:c>
      <x:c r="H82" s="17" t="str">
        <x:v>建立Agent效率指标，跟踪任务完成率、响应速度等表现。</x:v>
      </x:c>
      <x:c r="I82" s="17" t="str">
        <x:v>待团队复核</x:v>
      </x:c>
    </x:row>
    <x:row r="83" ht="54" customHeight="1">
      <x:c r="A83" s="13" t="str">
        <x:v>031</x:v>
      </x:c>
      <x:c r="B83" s="12" t="str">
        <x:v>数据分析师</x:v>
      </x:c>
      <x:c r="C83" s="12" t="str">
        <x:v>大数据</x:v>
      </x:c>
      <x:c r="D83" s="12" t="str">
        <x:v>互联网/科技</x:v>
      </x:c>
      <x:c r="E83" s="12" t="str">
        <x:v>bjda</x:v>
      </x:c>
      <x:c r="F83" s="12" t="str">
        <x:v>无补充来源</x:v>
      </x:c>
      <x:c r="G83" s="12" t="str">
        <x:v>公开岗位卡片摘要</x:v>
      </x:c>
      <x:c r="H83" s="12" t="str">
        <x:v>公开摘要中未见AI相关要求；完整JD未核实。</x:v>
      </x:c>
      <x:c r="I83" s="12" t="str">
        <x:v>待团队复核</x:v>
      </x:c>
    </x:row>
    <x:row r="84" ht="54" customHeight="1">
      <x:c r="A84" s="18" t="str">
        <x:v>032</x:v>
      </x:c>
      <x:c r="B84" s="17" t="str">
        <x:v>数据分析师</x:v>
      </x:c>
      <x:c r="C84" s="17" t="str">
        <x:v>互联网</x:v>
      </x:c>
      <x:c r="D84" s="17" t="str">
        <x:v>互联网/科技</x:v>
      </x:c>
      <x:c r="E84" s="17" t="str">
        <x:v>bjda</x:v>
      </x:c>
      <x:c r="F84" s="17" t="str">
        <x:v>无补充来源</x:v>
      </x:c>
      <x:c r="G84" s="17" t="str">
        <x:v>公开岗位卡片摘要</x:v>
      </x:c>
      <x:c r="H84" s="17" t="str">
        <x:v>公开摘要中未见AI相关要求；完整JD未核实。</x:v>
      </x:c>
      <x:c r="I84" s="17" t="str">
        <x:v>待团队复核</x:v>
      </x:c>
    </x:row>
    <x:row r="85" ht="54" customHeight="1">
      <x:c r="A85" s="13" t="str">
        <x:v>033</x:v>
      </x:c>
      <x:c r="B85" s="12" t="str">
        <x:v>数据分析师</x:v>
      </x:c>
      <x:c r="C85" s="12" t="str">
        <x:v>游戏</x:v>
      </x:c>
      <x:c r="D85" s="12" t="str">
        <x:v>互联网/科技</x:v>
      </x:c>
      <x:c r="E85" s="12" t="str">
        <x:v>bjda</x:v>
      </x:c>
      <x:c r="F85" s="12" t="str">
        <x:v>无补充来源</x:v>
      </x:c>
      <x:c r="G85" s="12" t="str">
        <x:v>公开岗位卡片摘要</x:v>
      </x:c>
      <x:c r="H85" s="12" t="str">
        <x:v>公开摘要中未见AI相关要求；完整JD未核实。</x:v>
      </x:c>
      <x:c r="I85" s="12" t="str">
        <x:v>待团队复核</x:v>
      </x:c>
    </x:row>
    <x:row r="86" ht="54" customHeight="1">
      <x:c r="A86" s="18" t="str">
        <x:v>034</x:v>
      </x:c>
      <x:c r="B86" s="17" t="str">
        <x:v>数据分析师</x:v>
      </x:c>
      <x:c r="C86" s="17" t="str">
        <x:v>风电（同公司来源energy）</x:v>
      </x:c>
      <x:c r="D86" s="17" t="str">
        <x:v>新能源</x:v>
      </x:c>
      <x:c r="E86" s="17" t="str">
        <x:v>bjda2</x:v>
      </x:c>
      <x:c r="F86" s="17" t="str">
        <x:v>https://www.zhipin.com/zhaopin/d79aff64a051eaac03Nz09u0EQ~~/</x:v>
      </x:c>
      <x:c r="G86" s="17" t="str">
        <x:v>公开岗位卡片摘要</x:v>
      </x:c>
      <x:c r="H86" s="17" t="str">
        <x:v>公开摘要中未见AI相关要求；完整JD未核实。</x:v>
      </x:c>
      <x:c r="I86" s="17" t="str">
        <x:v>待团队复核</x:v>
      </x:c>
    </x:row>
    <x:row r="87" ht="54" customHeight="1">
      <x:c r="A87" s="13" t="str">
        <x:v>035</x:v>
      </x:c>
      <x:c r="B87" s="12" t="str">
        <x:v>数据分析师</x:v>
      </x:c>
      <x:c r="C87" s="12" t="str">
        <x:v>移动互联网（同公司来源bi1）</x:v>
      </x:c>
      <x:c r="D87" s="12" t="str">
        <x:v>互联网/科技</x:v>
      </x:c>
      <x:c r="E87" s="12" t="str">
        <x:v>bjda2</x:v>
      </x:c>
      <x:c r="F87" s="12" t="str">
        <x:v>https://www.zhipin.com/zhaopin/0ef7e284469fa3d01Xdy2du9/</x:v>
      </x:c>
      <x:c r="G87" s="12" t="str">
        <x:v>公开岗位卡片摘要</x:v>
      </x:c>
      <x:c r="H87" s="12" t="str">
        <x:v>公开摘要中未见AI相关要求；完整JD未核实。</x:v>
      </x:c>
      <x:c r="I87" s="12" t="str">
        <x:v>待团队复核</x:v>
      </x:c>
    </x:row>
    <x:row r="88" ht="54" customHeight="1">
      <x:c r="A88" s="18" t="str">
        <x:v>036</x:v>
      </x:c>
      <x:c r="B88" s="17" t="str">
        <x:v>数据分析师</x:v>
      </x:c>
      <x:c r="C88" s="17" t="str">
        <x:v>计算机软件（同公司来源shop）</x:v>
      </x:c>
      <x:c r="D88" s="17" t="str">
        <x:v>互联网/科技</x:v>
      </x:c>
      <x:c r="E88" s="17" t="str">
        <x:v>bjda2</x:v>
      </x:c>
      <x:c r="F88" s="17" t="str">
        <x:v>https://www.zhipin.com/zhaopin/da699d9e8662127903x83Ni1EA~~/</x:v>
      </x:c>
      <x:c r="G88" s="17" t="str">
        <x:v>公开岗位卡片摘要</x:v>
      </x:c>
      <x:c r="H88" s="17" t="str">
        <x:v>公开摘要中未见AI相关要求；完整JD未核实。</x:v>
      </x:c>
      <x:c r="I88" s="17" t="str">
        <x:v>待团队复核</x:v>
      </x:c>
    </x:row>
    <x:row r="89" ht="54" customHeight="1">
      <x:c r="A89" s="13" t="str">
        <x:v>037</x:v>
      </x:c>
      <x:c r="B89" s="12" t="str">
        <x:v>数据分析师</x:v>
      </x:c>
      <x:c r="C89" s="12" t="str">
        <x:v>互联网</x:v>
      </x:c>
      <x:c r="D89" s="12" t="str">
        <x:v>互联网/科技</x:v>
      </x:c>
      <x:c r="E89" s="12" t="str">
        <x:v>szda3</x:v>
      </x:c>
      <x:c r="F89" s="12" t="str">
        <x:v>无补充来源</x:v>
      </x:c>
      <x:c r="G89" s="12" t="str">
        <x:v>公开岗位卡片摘要</x:v>
      </x:c>
      <x:c r="H89" s="12" t="str">
        <x:v>公开摘要中未见AI相关要求；完整JD未核实。</x:v>
      </x:c>
      <x:c r="I89" s="12" t="str">
        <x:v>待团队复核</x:v>
      </x:c>
    </x:row>
    <x:row r="90" ht="54" customHeight="1">
      <x:c r="A90" s="18" t="str">
        <x:v>038</x:v>
      </x:c>
      <x:c r="B90" s="17" t="str">
        <x:v>数据分析师</x:v>
      </x:c>
      <x:c r="C90" s="17" t="str">
        <x:v>互联网金融</x:v>
      </x:c>
      <x:c r="D90" s="17" t="str">
        <x:v>金融科技</x:v>
      </x:c>
      <x:c r="E90" s="17" t="str">
        <x:v>szda3</x:v>
      </x:c>
      <x:c r="F90" s="17" t="str">
        <x:v>无补充来源</x:v>
      </x:c>
      <x:c r="G90" s="17" t="str">
        <x:v>公开岗位卡片摘要</x:v>
      </x:c>
      <x:c r="H90" s="17" t="str">
        <x:v>公开摘要中未见AI相关要求；完整JD未核实。</x:v>
      </x:c>
      <x:c r="I90" s="17" t="str">
        <x:v>待团队复核</x:v>
      </x:c>
    </x:row>
    <x:row r="91" ht="54" customHeight="1">
      <x:c r="A91" s="13" t="str">
        <x:v>039</x:v>
      </x:c>
      <x:c r="B91" s="12" t="str">
        <x:v>数据分析师</x:v>
      </x:c>
      <x:c r="C91" s="12" t="str">
        <x:v>食品/饮料/烟酒</x:v>
      </x:c>
      <x:c r="D91" s="12" t="str">
        <x:v>消费品</x:v>
      </x:c>
      <x:c r="E91" s="12" t="str">
        <x:v>szda3</x:v>
      </x:c>
      <x:c r="F91" s="12" t="str">
        <x:v>无补充来源</x:v>
      </x:c>
      <x:c r="G91" s="12" t="str">
        <x:v>公开岗位卡片摘要</x:v>
      </x:c>
      <x:c r="H91" s="12" t="str">
        <x:v>公开摘要中未见AI相关要求；完整JD未核实。</x:v>
      </x:c>
      <x:c r="I91" s="12" t="str">
        <x:v>待团队复核</x:v>
      </x:c>
    </x:row>
    <x:row r="92" ht="54" customHeight="1">
      <x:c r="A92" s="18" t="str">
        <x:v>040</x:v>
      </x:c>
      <x:c r="B92" s="17" t="str">
        <x:v>数据分析师</x:v>
      </x:c>
      <x:c r="C92" s="17" t="str">
        <x:v>互联网</x:v>
      </x:c>
      <x:c r="D92" s="17" t="str">
        <x:v>互联网/科技</x:v>
      </x:c>
      <x:c r="E92" s="17" t="str">
        <x:v>szda3</x:v>
      </x:c>
      <x:c r="F92" s="17" t="str">
        <x:v>无补充来源</x:v>
      </x:c>
      <x:c r="G92" s="17" t="str">
        <x:v>公开岗位卡片摘要</x:v>
      </x:c>
      <x:c r="H92" s="17" t="str">
        <x:v>公开摘要中未见AI相关要求；完整JD未核实。</x:v>
      </x:c>
      <x:c r="I92" s="17" t="str">
        <x:v>待团队复核</x:v>
      </x:c>
    </x:row>
    <x:row r="93" ht="54" customHeight="1">
      <x:c r="A93" s="13" t="str">
        <x:v>041</x:v>
      </x:c>
      <x:c r="B93" s="12" t="str">
        <x:v>商业分析师</x:v>
      </x:c>
      <x:c r="C93" s="12" t="str">
        <x:v>电子商务</x:v>
      </x:c>
      <x:c r="D93" s="12" t="str">
        <x:v>电子商务</x:v>
      </x:c>
      <x:c r="E93" s="12" t="str">
        <x:v>shba</x:v>
      </x:c>
      <x:c r="F93" s="12" t="str">
        <x:v>无补充来源</x:v>
      </x:c>
      <x:c r="G93" s="12" t="str">
        <x:v>公开岗位卡片摘要</x:v>
      </x:c>
      <x:c r="H93" s="12" t="str">
        <x:v>公开摘要中未见AI相关要求；完整JD未核实。</x:v>
      </x:c>
      <x:c r="I93" s="12" t="str">
        <x:v>待团队复核</x:v>
      </x:c>
    </x:row>
    <x:row r="94" ht="54" customHeight="1">
      <x:c r="A94" s="18" t="str">
        <x:v>042</x:v>
      </x:c>
      <x:c r="B94" s="17" t="str">
        <x:v>商业分析师</x:v>
      </x:c>
      <x:c r="C94" s="17" t="str">
        <x:v>批发/零售</x:v>
      </x:c>
      <x:c r="D94" s="17" t="str">
        <x:v>消费品</x:v>
      </x:c>
      <x:c r="E94" s="17" t="str">
        <x:v>shba</x:v>
      </x:c>
      <x:c r="F94" s="17" t="str">
        <x:v>无补充来源</x:v>
      </x:c>
      <x:c r="G94" s="17" t="str">
        <x:v>公开岗位卡片摘要</x:v>
      </x:c>
      <x:c r="H94" s="17" t="str">
        <x:v>公开摘要中未见AI相关要求；完整JD未核实。</x:v>
      </x:c>
      <x:c r="I94" s="17" t="str">
        <x:v>待团队复核</x:v>
      </x:c>
    </x:row>
    <x:row r="95" ht="54" customHeight="1">
      <x:c r="A95" s="13" t="str">
        <x:v>043</x:v>
      </x:c>
      <x:c r="B95" s="12" t="str">
        <x:v>商业分析师</x:v>
      </x:c>
      <x:c r="C95" s="12" t="str">
        <x:v>新零售</x:v>
      </x:c>
      <x:c r="D95" s="12" t="str">
        <x:v>消费品</x:v>
      </x:c>
      <x:c r="E95" s="12" t="str">
        <x:v>shba</x:v>
      </x:c>
      <x:c r="F95" s="12" t="str">
        <x:v>无补充来源</x:v>
      </x:c>
      <x:c r="G95" s="12" t="str">
        <x:v>公开岗位卡片摘要</x:v>
      </x:c>
      <x:c r="H95" s="12" t="str">
        <x:v>公开摘要中未见AI相关要求；完整JD未核实。</x:v>
      </x:c>
      <x:c r="I95" s="12" t="str">
        <x:v>待团队复核</x:v>
      </x:c>
    </x:row>
    <x:row r="96" ht="54" customHeight="1">
      <x:c r="A96" s="18" t="str">
        <x:v>044</x:v>
      </x:c>
      <x:c r="B96" s="17" t="str">
        <x:v>商业分析师</x:v>
      </x:c>
      <x:c r="C96" s="17" t="str">
        <x:v>互联网</x:v>
      </x:c>
      <x:c r="D96" s="17" t="str">
        <x:v>互联网/科技</x:v>
      </x:c>
      <x:c r="E96" s="17" t="str">
        <x:v>shba</x:v>
      </x:c>
      <x:c r="F96" s="17" t="str">
        <x:v>无补充来源</x:v>
      </x:c>
      <x:c r="G96" s="17" t="str">
        <x:v>公开岗位卡片摘要</x:v>
      </x:c>
      <x:c r="H96" s="17" t="str">
        <x:v>公开摘要中未见AI相关要求；完整JD未核实。</x:v>
      </x:c>
      <x:c r="I96" s="17" t="str">
        <x:v>待团队复核</x:v>
      </x:c>
    </x:row>
    <x:row r="97" ht="54" customHeight="1">
      <x:c r="A97" s="13" t="str">
        <x:v>045</x:v>
      </x:c>
      <x:c r="B97" s="12" t="str">
        <x:v>商业分析师</x:v>
      </x:c>
      <x:c r="C97" s="12" t="str">
        <x:v>互联网</x:v>
      </x:c>
      <x:c r="D97" s="12" t="str">
        <x:v>互联网/科技</x:v>
      </x:c>
      <x:c r="E97" s="12" t="str">
        <x:v>ali</x:v>
      </x:c>
      <x:c r="F97" s="12" t="str">
        <x:v>无补充来源</x:v>
      </x:c>
      <x:c r="G97" s="12" t="str">
        <x:v>公开岗位卡片摘要</x:v>
      </x:c>
      <x:c r="H97" s="12" t="str">
        <x:v>公开摘要中未见AI相关要求；完整JD未核实。</x:v>
      </x:c>
      <x:c r="I97" s="12" t="str">
        <x:v>待团队复核</x:v>
      </x:c>
    </x:row>
    <x:row r="98" ht="54" customHeight="1">
      <x:c r="A98" s="18" t="str">
        <x:v>046</x:v>
      </x:c>
      <x:c r="B98" s="17" t="str">
        <x:v>商业分析师</x:v>
      </x:c>
      <x:c r="C98" s="17" t="str">
        <x:v>互联网</x:v>
      </x:c>
      <x:c r="D98" s="17" t="str">
        <x:v>互联网/科技</x:v>
      </x:c>
      <x:c r="E98" s="17" t="str">
        <x:v>hzba</x:v>
      </x:c>
      <x:c r="F98" s="17" t="str">
        <x:v>无补充来源</x:v>
      </x:c>
      <x:c r="G98" s="17" t="str">
        <x:v>公开岗位卡片摘要</x:v>
      </x:c>
      <x:c r="H98" s="17" t="str">
        <x:v>公开摘要中未见AI相关要求；完整JD未核实。</x:v>
      </x:c>
      <x:c r="I98" s="17" t="str">
        <x:v>待团队复核</x:v>
      </x:c>
    </x:row>
    <x:row r="99" ht="54" customHeight="1">
      <x:c r="A99" s="13" t="str">
        <x:v>047</x:v>
      </x:c>
      <x:c r="B99" s="12" t="str">
        <x:v>商业分析师</x:v>
      </x:c>
      <x:c r="C99" s="12" t="str">
        <x:v>批发/零售</x:v>
      </x:c>
      <x:c r="D99" s="12" t="str">
        <x:v>消费品</x:v>
      </x:c>
      <x:c r="E99" s="12" t="str">
        <x:v>hzba</x:v>
      </x:c>
      <x:c r="F99" s="12" t="str">
        <x:v>无补充来源</x:v>
      </x:c>
      <x:c r="G99" s="12" t="str">
        <x:v>公开岗位卡片摘要</x:v>
      </x:c>
      <x:c r="H99" s="12" t="str">
        <x:v>公开摘要中未见AI相关要求；完整JD未核实。</x:v>
      </x:c>
      <x:c r="I99" s="12" t="str">
        <x:v>待团队复核</x:v>
      </x:c>
    </x:row>
    <x:row r="100" ht="54" customHeight="1">
      <x:c r="A100" s="18" t="str">
        <x:v>048</x:v>
      </x:c>
      <x:c r="B100" s="17" t="str">
        <x:v>商业分析师</x:v>
      </x:c>
      <x:c r="C100" s="17" t="str">
        <x:v>大数据</x:v>
      </x:c>
      <x:c r="D100" s="17" t="str">
        <x:v>互联网/科技</x:v>
      </x:c>
      <x:c r="E100" s="17" t="str">
        <x:v>hzba</x:v>
      </x:c>
      <x:c r="F100" s="17" t="str">
        <x:v>无补充来源</x:v>
      </x:c>
      <x:c r="G100" s="17" t="str">
        <x:v>公开岗位卡片摘要</x:v>
      </x:c>
      <x:c r="H100" s="17" t="str">
        <x:v>公开摘要中未见AI相关要求；完整JD未核实。</x:v>
      </x:c>
      <x:c r="I100" s="17" t="str">
        <x:v>待团队复核</x:v>
      </x:c>
    </x:row>
    <x:row r="101" ht="54" customHeight="1">
      <x:c r="A101" s="13" t="str">
        <x:v>049</x:v>
      </x:c>
      <x:c r="B101" s="12" t="str">
        <x:v>商业分析师</x:v>
      </x:c>
      <x:c r="C101" s="12" t="str">
        <x:v>互联网（征信业务）</x:v>
      </x:c>
      <x:c r="D101" s="12" t="str">
        <x:v>金融科技</x:v>
      </x:c>
      <x:c r="E101" s="12" t="str">
        <x:v>hzba</x:v>
      </x:c>
      <x:c r="F101" s="12" t="str">
        <x:v>无补充来源</x:v>
      </x:c>
      <x:c r="G101" s="12" t="str">
        <x:v>公开岗位卡片摘要</x:v>
      </x:c>
      <x:c r="H101" s="12" t="str">
        <x:v>公开摘要中未见AI相关要求；完整JD未核实。</x:v>
      </x:c>
      <x:c r="I101" s="12" t="str">
        <x:v>待团队复核</x:v>
      </x:c>
    </x:row>
    <x:row r="102" ht="54" customHeight="1">
      <x:c r="A102" s="18" t="str">
        <x:v>050</x:v>
      </x:c>
      <x:c r="B102" s="17" t="str">
        <x:v>商业分析师</x:v>
      </x:c>
      <x:c r="C102" s="17" t="str">
        <x:v>互联网</x:v>
      </x:c>
      <x:c r="D102" s="17" t="str">
        <x:v>互联网/科技</x:v>
      </x:c>
      <x:c r="E102" s="17" t="str">
        <x:v>szba</x:v>
      </x:c>
      <x:c r="F102" s="17" t="str">
        <x:v>无补充来源</x:v>
      </x:c>
      <x:c r="G102" s="17" t="str">
        <x:v>公开岗位卡片摘要</x:v>
      </x:c>
      <x:c r="H102" s="17" t="str">
        <x:v>公开摘要中未见AI相关要求；完整JD未核实。</x:v>
      </x:c>
      <x:c r="I102" s="17" t="str">
        <x:v>待团队复核</x:v>
      </x:c>
    </x:row>
    <x:row r="103" ht="54" customHeight="1">
      <x:c r="A103" s="13" t="str">
        <x:v>051</x:v>
      </x:c>
      <x:c r="B103" s="12" t="str">
        <x:v>商业分析师</x:v>
      </x:c>
      <x:c r="C103" s="12" t="str">
        <x:v>互联网（银行数字化业务）</x:v>
      </x:c>
      <x:c r="D103" s="12" t="str">
        <x:v>金融科技</x:v>
      </x:c>
      <x:c r="E103" s="12" t="str">
        <x:v>szba</x:v>
      </x:c>
      <x:c r="F103" s="12" t="str">
        <x:v>无补充来源</x:v>
      </x:c>
      <x:c r="G103" s="12" t="str">
        <x:v>公开岗位卡片摘要</x:v>
      </x:c>
      <x:c r="H103" s="12" t="str">
        <x:v>用大模型挖掘客群，建设自然语言查询与经营归因能力。</x:v>
      </x:c>
      <x:c r="I103" s="12" t="str">
        <x:v>待团队复核</x:v>
      </x:c>
    </x:row>
    <x:row r="104" ht="54" customHeight="1">
      <x:c r="A104" s="18" t="str">
        <x:v>052</x:v>
      </x:c>
      <x:c r="B104" s="17" t="str">
        <x:v>商业分析师</x:v>
      </x:c>
      <x:c r="C104" s="17" t="str">
        <x:v>跨境物流</x:v>
      </x:c>
      <x:c r="D104" s="17" t="str">
        <x:v>物流</x:v>
      </x:c>
      <x:c r="E104" s="17" t="str">
        <x:v>szba</x:v>
      </x:c>
      <x:c r="F104" s="17" t="str">
        <x:v>无补充来源</x:v>
      </x:c>
      <x:c r="G104" s="17" t="str">
        <x:v>公开岗位卡片摘要</x:v>
      </x:c>
      <x:c r="H104" s="17" t="str">
        <x:v>公开摘要中未见AI相关要求；完整JD未核实。</x:v>
      </x:c>
      <x:c r="I104" s="17" t="str">
        <x:v>待团队复核</x:v>
      </x:c>
    </x:row>
    <x:row r="105" ht="54" customHeight="1">
      <x:c r="A105" s="13" t="str">
        <x:v>053</x:v>
      </x:c>
      <x:c r="B105" s="12" t="str">
        <x:v>商业分析师</x:v>
      </x:c>
      <x:c r="C105" s="12" t="str">
        <x:v>智能硬件</x:v>
      </x:c>
      <x:c r="D105" s="12" t="str">
        <x:v>制造业</x:v>
      </x:c>
      <x:c r="E105" s="12" t="str">
        <x:v>szba</x:v>
      </x:c>
      <x:c r="F105" s="12" t="str">
        <x:v>无补充来源</x:v>
      </x:c>
      <x:c r="G105" s="12" t="str">
        <x:v>公开岗位卡片摘要</x:v>
      </x:c>
      <x:c r="H105" s="12" t="str">
        <x:v>公开摘要中未见AI相关要求；完整JD未核实。</x:v>
      </x:c>
      <x:c r="I105" s="12" t="str">
        <x:v>待团队复核</x:v>
      </x:c>
    </x:row>
    <x:row r="106" ht="54" customHeight="1">
      <x:c r="A106" s="18" t="str">
        <x:v>054</x:v>
      </x:c>
      <x:c r="B106" s="17" t="str">
        <x:v>商业分析师</x:v>
      </x:c>
      <x:c r="C106" s="17" t="str">
        <x:v>互联网</x:v>
      </x:c>
      <x:c r="D106" s="17" t="str">
        <x:v>互联网/科技</x:v>
      </x:c>
      <x:c r="E106" s="17" t="str">
        <x:v>bjba</x:v>
      </x:c>
      <x:c r="F106" s="17" t="str">
        <x:v>无补充来源</x:v>
      </x:c>
      <x:c r="G106" s="17" t="str">
        <x:v>公开岗位卡片摘要</x:v>
      </x:c>
      <x:c r="H106" s="17" t="str">
        <x:v>公开摘要中未见AI相关要求；完整JD未核实。</x:v>
      </x:c>
      <x:c r="I106" s="17" t="str">
        <x:v>待团队复核</x:v>
      </x:c>
    </x:row>
    <x:row r="107" ht="54" customHeight="1">
      <x:c r="A107" s="13" t="str">
        <x:v>055</x:v>
      </x:c>
      <x:c r="B107" s="12" t="str">
        <x:v>商业分析师</x:v>
      </x:c>
      <x:c r="C107" s="12" t="str">
        <x:v>服装/纺织</x:v>
      </x:c>
      <x:c r="D107" s="12" t="str">
        <x:v>消费品</x:v>
      </x:c>
      <x:c r="E107" s="12" t="str">
        <x:v>bjba</x:v>
      </x:c>
      <x:c r="F107" s="12" t="str">
        <x:v>无补充来源</x:v>
      </x:c>
      <x:c r="G107" s="12" t="str">
        <x:v>公开岗位卡片摘要</x:v>
      </x:c>
      <x:c r="H107" s="12" t="str">
        <x:v>公开摘要中未见AI相关要求；完整JD未核实。</x:v>
      </x:c>
      <x:c r="I107" s="12" t="str">
        <x:v>待团队复核</x:v>
      </x:c>
    </x:row>
    <x:row r="108" ht="54" customHeight="1">
      <x:c r="A108" s="18" t="str">
        <x:v>056</x:v>
      </x:c>
      <x:c r="B108" s="17" t="str">
        <x:v>商业分析师</x:v>
      </x:c>
      <x:c r="C108" s="17" t="str">
        <x:v>公路物流</x:v>
      </x:c>
      <x:c r="D108" s="17" t="str">
        <x:v>物流</x:v>
      </x:c>
      <x:c r="E108" s="17" t="str">
        <x:v>bjba</x:v>
      </x:c>
      <x:c r="F108" s="17" t="str">
        <x:v>无补充来源</x:v>
      </x:c>
      <x:c r="G108" s="17" t="str">
        <x:v>公开岗位卡片摘要</x:v>
      </x:c>
      <x:c r="H108" s="17" t="str">
        <x:v>公开摘要中未见AI相关要求；完整JD未核实。</x:v>
      </x:c>
      <x:c r="I108" s="17" t="str">
        <x:v>待团队复核</x:v>
      </x:c>
    </x:row>
    <x:row r="109" ht="54" customHeight="1">
      <x:c r="A109" s="13" t="str">
        <x:v>057</x:v>
      </x:c>
      <x:c r="B109" s="12" t="str">
        <x:v>商业分析师</x:v>
      </x:c>
      <x:c r="C109" s="12" t="str">
        <x:v>互联网（信贷业务）</x:v>
      </x:c>
      <x:c r="D109" s="12" t="str">
        <x:v>金融科技</x:v>
      </x:c>
      <x:c r="E109" s="12" t="str">
        <x:v>bjba</x:v>
      </x:c>
      <x:c r="F109" s="12" t="str">
        <x:v>无补充来源</x:v>
      </x:c>
      <x:c r="G109" s="12" t="str">
        <x:v>公开岗位卡片摘要</x:v>
      </x:c>
      <x:c r="H109" s="12" t="str">
        <x:v>公开摘要中未见AI相关要求；完整JD未核实。</x:v>
      </x:c>
      <x:c r="I109" s="12" t="str">
        <x:v>待团队复核</x:v>
      </x:c>
    </x:row>
    <x:row r="110" ht="54" customHeight="1">
      <x:c r="A110" s="18" t="str">
        <x:v>058</x:v>
      </x:c>
      <x:c r="B110" s="17" t="str">
        <x:v>商业分析师</x:v>
      </x:c>
      <x:c r="C110" s="17" t="str">
        <x:v>服装/纺织</x:v>
      </x:c>
      <x:c r="D110" s="17" t="str">
        <x:v>消费品</x:v>
      </x:c>
      <x:c r="E110" s="17" t="str">
        <x:v>gzba</x:v>
      </x:c>
      <x:c r="F110" s="17" t="str">
        <x:v>无补充来源</x:v>
      </x:c>
      <x:c r="G110" s="17" t="str">
        <x:v>公开岗位卡片摘要</x:v>
      </x:c>
      <x:c r="H110" s="17" t="str">
        <x:v>公开摘要中未见AI相关要求；完整JD未核实。</x:v>
      </x:c>
      <x:c r="I110" s="17" t="str">
        <x:v>待团队复核</x:v>
      </x:c>
    </x:row>
    <x:row r="111" ht="54" customHeight="1">
      <x:c r="A111" s="13" t="str">
        <x:v>059</x:v>
      </x:c>
      <x:c r="B111" s="12" t="str">
        <x:v>商业分析师</x:v>
      </x:c>
      <x:c r="C111" s="12" t="str">
        <x:v>家具/家居</x:v>
      </x:c>
      <x:c r="D111" s="12" t="str">
        <x:v>制造业</x:v>
      </x:c>
      <x:c r="E111" s="12" t="str">
        <x:v>gzba</x:v>
      </x:c>
      <x:c r="F111" s="12" t="str">
        <x:v>无补充来源</x:v>
      </x:c>
      <x:c r="G111" s="12" t="str">
        <x:v>公开岗位卡片摘要</x:v>
      </x:c>
      <x:c r="H111" s="12" t="str">
        <x:v>公开摘要中未见AI相关要求；完整JD未核实。</x:v>
      </x:c>
      <x:c r="I111" s="12" t="str">
        <x:v>待团队复核</x:v>
      </x:c>
    </x:row>
    <x:row r="112" ht="54" customHeight="1">
      <x:c r="A112" s="18" t="str">
        <x:v>060</x:v>
      </x:c>
      <x:c r="B112" s="17" t="str">
        <x:v>商业分析师</x:v>
      </x:c>
      <x:c r="C112" s="17" t="str">
        <x:v>互联网</x:v>
      </x:c>
      <x:c r="D112" s="17" t="str">
        <x:v>互联网/科技</x:v>
      </x:c>
      <x:c r="E112" s="17" t="str">
        <x:v>gzba</x:v>
      </x:c>
      <x:c r="F112" s="17" t="str">
        <x:v>无补充来源</x:v>
      </x:c>
      <x:c r="G112" s="17" t="str">
        <x:v>公开岗位卡片摘要</x:v>
      </x:c>
      <x:c r="H112" s="17" t="str">
        <x:v>分析AI工具产品，识别增长空间和业务风险并支持迭代。</x:v>
      </x:c>
      <x:c r="I112" s="17" t="str">
        <x:v>待团队复核</x:v>
      </x:c>
    </x:row>
    <x:row r="113" ht="54" customHeight="1">
      <x:c r="A113" s="13" t="str">
        <x:v>061</x:v>
      </x:c>
      <x:c r="B113" s="12" t="str">
        <x:v>BI分析师</x:v>
      </x:c>
      <x:c r="C113" s="12" t="str">
        <x:v>食品/饮料/烟酒</x:v>
      </x:c>
      <x:c r="D113" s="12" t="str">
        <x:v>消费品</x:v>
      </x:c>
      <x:c r="E113" s="12" t="str">
        <x:v>bi1</x:v>
      </x:c>
      <x:c r="F113" s="12" t="str">
        <x:v>无补充来源</x:v>
      </x:c>
      <x:c r="G113" s="12" t="str">
        <x:v>公开岗位卡片摘要</x:v>
      </x:c>
      <x:c r="H113" s="12" t="str">
        <x:v>公开摘要中未见AI相关要求；完整JD未核实。</x:v>
      </x:c>
      <x:c r="I113" s="12" t="str">
        <x:v>待团队复核</x:v>
      </x:c>
    </x:row>
    <x:row r="114" ht="54" customHeight="1">
      <x:c r="A114" s="18" t="str">
        <x:v>062</x:v>
      </x:c>
      <x:c r="B114" s="17" t="str">
        <x:v>BI分析师</x:v>
      </x:c>
      <x:c r="C114" s="17" t="str">
        <x:v>互联网</x:v>
      </x:c>
      <x:c r="D114" s="17" t="str">
        <x:v>互联网/科技</x:v>
      </x:c>
      <x:c r="E114" s="17" t="str">
        <x:v>bi1</x:v>
      </x:c>
      <x:c r="F114" s="17" t="str">
        <x:v>无补充来源</x:v>
      </x:c>
      <x:c r="G114" s="17" t="str">
        <x:v>公开岗位卡片摘要</x:v>
      </x:c>
      <x:c r="H114" s="17" t="str">
        <x:v>围绕用户增长及AI方向研究业务模式，支持策略制定。</x:v>
      </x:c>
      <x:c r="I114" s="17" t="str">
        <x:v>待团队复核</x:v>
      </x:c>
    </x:row>
    <x:row r="115" ht="54" customHeight="1">
      <x:c r="A115" s="13" t="str">
        <x:v>063</x:v>
      </x:c>
      <x:c r="B115" s="12" t="str">
        <x:v>BI分析师</x:v>
      </x:c>
      <x:c r="C115" s="12" t="str">
        <x:v>日化</x:v>
      </x:c>
      <x:c r="D115" s="12" t="str">
        <x:v>消费品</x:v>
      </x:c>
      <x:c r="E115" s="12" t="str">
        <x:v>bi1</x:v>
      </x:c>
      <x:c r="F115" s="12" t="str">
        <x:v>无补充来源</x:v>
      </x:c>
      <x:c r="G115" s="12" t="str">
        <x:v>公开岗位卡片摘要</x:v>
      </x:c>
      <x:c r="H115" s="12" t="str">
        <x:v>公开摘要中未见AI相关要求；完整JD未核实。</x:v>
      </x:c>
      <x:c r="I115" s="12" t="str">
        <x:v>待团队复核</x:v>
      </x:c>
    </x:row>
    <x:row r="116" ht="54" customHeight="1">
      <x:c r="A116" s="18" t="str">
        <x:v>064</x:v>
      </x:c>
      <x:c r="B116" s="17" t="str">
        <x:v>BI分析师</x:v>
      </x:c>
      <x:c r="C116" s="17" t="str">
        <x:v>电子商务</x:v>
      </x:c>
      <x:c r="D116" s="17" t="str">
        <x:v>电子商务</x:v>
      </x:c>
      <x:c r="E116" s="17" t="str">
        <x:v>bi1</x:v>
      </x:c>
      <x:c r="F116" s="17" t="str">
        <x:v>无补充来源</x:v>
      </x:c>
      <x:c r="G116" s="17" t="str">
        <x:v>公开岗位卡片摘要</x:v>
      </x:c>
      <x:c r="H116" s="17" t="str">
        <x:v>公开摘要中未见AI相关要求；完整JD未核实。</x:v>
      </x:c>
      <x:c r="I116" s="17" t="str">
        <x:v>待团队复核</x:v>
      </x:c>
    </x:row>
    <x:row r="117" ht="54" customHeight="1">
      <x:c r="A117" s="13" t="str">
        <x:v>065</x:v>
      </x:c>
      <x:c r="B117" s="12" t="str">
        <x:v>BI分析师</x:v>
      </x:c>
      <x:c r="C117" s="12" t="str">
        <x:v>跨境物流</x:v>
      </x:c>
      <x:c r="D117" s="12" t="str">
        <x:v>物流</x:v>
      </x:c>
      <x:c r="E117" s="12" t="str">
        <x:v>szbi</x:v>
      </x:c>
      <x:c r="F117" s="12" t="str">
        <x:v>无补充来源</x:v>
      </x:c>
      <x:c r="G117" s="12" t="str">
        <x:v>公开岗位卡片摘要</x:v>
      </x:c>
      <x:c r="H117" s="12" t="str">
        <x:v>公开摘要中未见AI相关要求；完整JD未核实。</x:v>
      </x:c>
      <x:c r="I117" s="12" t="str">
        <x:v>待团队复核</x:v>
      </x:c>
    </x:row>
    <x:row r="118" ht="54" customHeight="1">
      <x:c r="A118" s="18" t="str">
        <x:v>066</x:v>
      </x:c>
      <x:c r="B118" s="17" t="str">
        <x:v>BI分析师</x:v>
      </x:c>
      <x:c r="C118" s="17" t="str">
        <x:v>互联网</x:v>
      </x:c>
      <x:c r="D118" s="17" t="str">
        <x:v>互联网/科技</x:v>
      </x:c>
      <x:c r="E118" s="17" t="str">
        <x:v>szbi</x:v>
      </x:c>
      <x:c r="F118" s="17" t="str">
        <x:v>无补充来源</x:v>
      </x:c>
      <x:c r="G118" s="17" t="str">
        <x:v>公开岗位卡片摘要</x:v>
      </x:c>
      <x:c r="H118" s="17" t="str">
        <x:v>公开摘要中未见AI相关要求；完整JD未核实。</x:v>
      </x:c>
      <x:c r="I118" s="17" t="str">
        <x:v>待团队复核</x:v>
      </x:c>
    </x:row>
    <x:row r="119" ht="54" customHeight="1">
      <x:c r="A119" s="13" t="str">
        <x:v>067</x:v>
      </x:c>
      <x:c r="B119" s="12" t="str">
        <x:v>BI分析师</x:v>
      </x:c>
      <x:c r="C119" s="12" t="str">
        <x:v>计算机软件</x:v>
      </x:c>
      <x:c r="D119" s="12" t="str">
        <x:v>互联网/科技</x:v>
      </x:c>
      <x:c r="E119" s="12" t="str">
        <x:v>szbi</x:v>
      </x:c>
      <x:c r="F119" s="12" t="str">
        <x:v>无补充来源</x:v>
      </x:c>
      <x:c r="G119" s="12" t="str">
        <x:v>公开岗位卡片摘要</x:v>
      </x:c>
      <x:c r="H119" s="12" t="str">
        <x:v>公开摘要中未见AI相关要求；完整JD未核实。</x:v>
      </x:c>
      <x:c r="I119" s="12" t="str">
        <x:v>待团队复核</x:v>
      </x:c>
    </x:row>
    <x:row r="120" ht="54" customHeight="1">
      <x:c r="A120" s="18" t="str">
        <x:v>068</x:v>
      </x:c>
      <x:c r="B120" s="17" t="str">
        <x:v>BI分析师</x:v>
      </x:c>
      <x:c r="C120" s="17" t="str">
        <x:v>电子商务</x:v>
      </x:c>
      <x:c r="D120" s="17" t="str">
        <x:v>电子商务</x:v>
      </x:c>
      <x:c r="E120" s="17" t="str">
        <x:v>szbi</x:v>
      </x:c>
      <x:c r="F120" s="17" t="str">
        <x:v>无补充来源</x:v>
      </x:c>
      <x:c r="G120" s="17" t="str">
        <x:v>公开岗位卡片摘要</x:v>
      </x:c>
      <x:c r="H120" s="17" t="str">
        <x:v>公开摘要中未见AI相关要求；完整JD未核实。</x:v>
      </x:c>
      <x:c r="I120" s="17" t="str">
        <x:v>待团队复核</x:v>
      </x:c>
    </x:row>
    <x:row r="121" ht="54" customHeight="1">
      <x:c r="A121" s="13" t="str">
        <x:v>069</x:v>
      </x:c>
      <x:c r="B121" s="12" t="str">
        <x:v>BI分析师</x:v>
      </x:c>
      <x:c r="C121" s="12" t="str">
        <x:v>大数据</x:v>
      </x:c>
      <x:c r="D121" s="12" t="str">
        <x:v>互联网/科技</x:v>
      </x:c>
      <x:c r="E121" s="12" t="str">
        <x:v>gzbi</x:v>
      </x:c>
      <x:c r="F121" s="12" t="str">
        <x:v>无补充来源</x:v>
      </x:c>
      <x:c r="G121" s="12" t="str">
        <x:v>公开岗位卡片摘要</x:v>
      </x:c>
      <x:c r="H121" s="12" t="str">
        <x:v>公开摘要中未见AI相关要求；完整JD未核实。</x:v>
      </x:c>
      <x:c r="I121" s="12" t="str">
        <x:v>待团队复核</x:v>
      </x:c>
    </x:row>
    <x:row r="122" ht="54" customHeight="1">
      <x:c r="A122" s="18" t="str">
        <x:v>070</x:v>
      </x:c>
      <x:c r="B122" s="17" t="str">
        <x:v>BI分析师</x:v>
      </x:c>
      <x:c r="C122" s="17" t="str">
        <x:v>互联网金融</x:v>
      </x:c>
      <x:c r="D122" s="17" t="str">
        <x:v>金融科技</x:v>
      </x:c>
      <x:c r="E122" s="17" t="str">
        <x:v>gzbi</x:v>
      </x:c>
      <x:c r="F122" s="17" t="str">
        <x:v>无补充来源</x:v>
      </x:c>
      <x:c r="G122" s="17" t="str">
        <x:v>公开岗位卡片摘要</x:v>
      </x:c>
      <x:c r="H122" s="17" t="str">
        <x:v>公开摘要中未见AI相关要求；完整JD未核实。</x:v>
      </x:c>
      <x:c r="I122" s="17" t="str">
        <x:v>待团队复核</x:v>
      </x:c>
    </x:row>
    <x:row r="123" ht="54" customHeight="1">
      <x:c r="A123" s="13" t="str">
        <x:v>071</x:v>
      </x:c>
      <x:c r="B123" s="12" t="str">
        <x:v>BI分析师</x:v>
      </x:c>
      <x:c r="C123" s="12" t="str">
        <x:v>大数据</x:v>
      </x:c>
      <x:c r="D123" s="12" t="str">
        <x:v>互联网/科技</x:v>
      </x:c>
      <x:c r="E123" s="12" t="str">
        <x:v>gzbi</x:v>
      </x:c>
      <x:c r="F123" s="12" t="str">
        <x:v>无补充来源</x:v>
      </x:c>
      <x:c r="G123" s="12" t="str">
        <x:v>公开岗位卡片摘要</x:v>
      </x:c>
      <x:c r="H123" s="12" t="str">
        <x:v>公开摘要中未见AI相关要求；完整JD未核实。</x:v>
      </x:c>
      <x:c r="I123" s="12" t="str">
        <x:v>待团队复核</x:v>
      </x:c>
    </x:row>
    <x:row r="124" ht="54" customHeight="1">
      <x:c r="A124" s="18" t="str">
        <x:v>072</x:v>
      </x:c>
      <x:c r="B124" s="17" t="str">
        <x:v>BI分析师</x:v>
      </x:c>
      <x:c r="C124" s="17" t="str">
        <x:v>互联网</x:v>
      </x:c>
      <x:c r="D124" s="17" t="str">
        <x:v>互联网/科技</x:v>
      </x:c>
      <x:c r="E124" s="17" t="str">
        <x:v>bjbi</x:v>
      </x:c>
      <x:c r="F124" s="17" t="str">
        <x:v>无补充来源</x:v>
      </x:c>
      <x:c r="G124" s="17" t="str">
        <x:v>公开岗位卡片摘要</x:v>
      </x:c>
      <x:c r="H124" s="17" t="str">
        <x:v>公开摘要中未见AI相关要求；完整JD未核实。</x:v>
      </x:c>
      <x:c r="I124" s="17" t="str">
        <x:v>待团队复核</x:v>
      </x:c>
    </x:row>
    <x:row r="125" ht="54" customHeight="1">
      <x:c r="A125" s="13" t="str">
        <x:v>073</x:v>
      </x:c>
      <x:c r="B125" s="12" t="str">
        <x:v>BI分析师</x:v>
      </x:c>
      <x:c r="C125" s="12" t="str">
        <x:v>互联网</x:v>
      </x:c>
      <x:c r="D125" s="12" t="str">
        <x:v>互联网/科技</x:v>
      </x:c>
      <x:c r="E125" s="12" t="str">
        <x:v>bjbi</x:v>
      </x:c>
      <x:c r="F125" s="12" t="str">
        <x:v>无补充来源</x:v>
      </x:c>
      <x:c r="G125" s="12" t="str">
        <x:v>公开岗位卡片摘要</x:v>
      </x:c>
      <x:c r="H125" s="12" t="str">
        <x:v>公开摘要中未见AI相关要求；完整JD未核实。</x:v>
      </x:c>
      <x:c r="I125" s="12" t="str">
        <x:v>待团队复核</x:v>
      </x:c>
    </x:row>
    <x:row r="126" ht="54" customHeight="1">
      <x:c r="A126" s="18" t="str">
        <x:v>074</x:v>
      </x:c>
      <x:c r="B126" s="17" t="str">
        <x:v>BI分析师</x:v>
      </x:c>
      <x:c r="C126" s="17" t="str">
        <x:v>计算机软件</x:v>
      </x:c>
      <x:c r="D126" s="17" t="str">
        <x:v>互联网/科技</x:v>
      </x:c>
      <x:c r="E126" s="17" t="str">
        <x:v>bjbi</x:v>
      </x:c>
      <x:c r="F126" s="17" t="str">
        <x:v>无补充来源</x:v>
      </x:c>
      <x:c r="G126" s="17" t="str">
        <x:v>公开岗位卡片摘要</x:v>
      </x:c>
      <x:c r="H126" s="17" t="str">
        <x:v>公开摘要中未见AI相关要求；完整JD未核实。</x:v>
      </x:c>
      <x:c r="I126" s="17" t="str">
        <x:v>待团队复核</x:v>
      </x:c>
    </x:row>
    <x:row r="127" ht="54" customHeight="1">
      <x:c r="A127" s="13" t="str">
        <x:v>075</x:v>
      </x:c>
      <x:c r="B127" s="12" t="str">
        <x:v>BI分析师</x:v>
      </x:c>
      <x:c r="C127" s="12" t="str">
        <x:v>通信/网络设备</x:v>
      </x:c>
      <x:c r="D127" s="12" t="str">
        <x:v>制造业</x:v>
      </x:c>
      <x:c r="E127" s="12" t="str">
        <x:v>bjbi</x:v>
      </x:c>
      <x:c r="F127" s="12" t="str">
        <x:v>无补充来源</x:v>
      </x:c>
      <x:c r="G127" s="12" t="str">
        <x:v>公开岗位卡片摘要</x:v>
      </x:c>
      <x:c r="H127" s="12" t="str">
        <x:v>公开摘要中未见AI相关要求；完整JD未核实。</x:v>
      </x:c>
      <x:c r="I127" s="12" t="str">
        <x:v>待团队复核</x:v>
      </x:c>
    </x:row>
    <x:row r="128" ht="54" customHeight="1">
      <x:c r="A128" s="18" t="str">
        <x:v>076</x:v>
      </x:c>
      <x:c r="B128" s="17" t="str">
        <x:v>BI分析师</x:v>
      </x:c>
      <x:c r="C128" s="17" t="str">
        <x:v>电子商务</x:v>
      </x:c>
      <x:c r="D128" s="17" t="str">
        <x:v>电子商务</x:v>
      </x:c>
      <x:c r="E128" s="17" t="str">
        <x:v>shbi</x:v>
      </x:c>
      <x:c r="F128" s="17" t="str">
        <x:v>无补充来源</x:v>
      </x:c>
      <x:c r="G128" s="17" t="str">
        <x:v>公开岗位卡片摘要</x:v>
      </x:c>
      <x:c r="H128" s="17" t="str">
        <x:v>公开摘要中未见AI相关要求；完整JD未核实。</x:v>
      </x:c>
      <x:c r="I128" s="17" t="str">
        <x:v>待团队复核</x:v>
      </x:c>
    </x:row>
    <x:row r="129" ht="54" customHeight="1">
      <x:c r="A129" s="13" t="str">
        <x:v>077</x:v>
      </x:c>
      <x:c r="B129" s="12" t="str">
        <x:v>BI分析师</x:v>
      </x:c>
      <x:c r="C129" s="12" t="str">
        <x:v>互联网</x:v>
      </x:c>
      <x:c r="D129" s="12" t="str">
        <x:v>互联网/科技</x:v>
      </x:c>
      <x:c r="E129" s="12" t="str">
        <x:v>shbi</x:v>
      </x:c>
      <x:c r="F129" s="12" t="str">
        <x:v>无补充来源</x:v>
      </x:c>
      <x:c r="G129" s="12" t="str">
        <x:v>公开岗位卡片摘要</x:v>
      </x:c>
      <x:c r="H129" s="12" t="str">
        <x:v>公开摘要中未见AI相关要求；完整JD未核实。</x:v>
      </x:c>
      <x:c r="I129" s="12" t="str">
        <x:v>待团队复核</x:v>
      </x:c>
    </x:row>
    <x:row r="130" ht="54" customHeight="1">
      <x:c r="A130" s="18" t="str">
        <x:v>078</x:v>
      </x:c>
      <x:c r="B130" s="17" t="str">
        <x:v>BI分析师</x:v>
      </x:c>
      <x:c r="C130" s="17" t="str">
        <x:v>电子商务</x:v>
      </x:c>
      <x:c r="D130" s="17" t="str">
        <x:v>电子商务</x:v>
      </x:c>
      <x:c r="E130" s="17" t="str">
        <x:v>shbi</x:v>
      </x:c>
      <x:c r="F130" s="17" t="str">
        <x:v>无补充来源</x:v>
      </x:c>
      <x:c r="G130" s="17" t="str">
        <x:v>公开岗位卡片摘要</x:v>
      </x:c>
      <x:c r="H130" s="17" t="str">
        <x:v>公开摘要中未见AI相关要求；完整JD未核实。</x:v>
      </x:c>
      <x:c r="I130" s="17" t="str">
        <x:v>待团队复核</x:v>
      </x:c>
    </x:row>
    <x:row r="131" ht="54" customHeight="1">
      <x:c r="A131" s="13" t="str">
        <x:v>079</x:v>
      </x:c>
      <x:c r="B131" s="12" t="str">
        <x:v>BI分析师</x:v>
      </x:c>
      <x:c r="C131" s="12" t="str">
        <x:v>互联网金融</x:v>
      </x:c>
      <x:c r="D131" s="12" t="str">
        <x:v>金融科技</x:v>
      </x:c>
      <x:c r="E131" s="12" t="str">
        <x:v>shbi</x:v>
      </x:c>
      <x:c r="F131" s="12" t="str">
        <x:v>无补充来源</x:v>
      </x:c>
      <x:c r="G131" s="12" t="str">
        <x:v>公开岗位卡片摘要</x:v>
      </x:c>
      <x:c r="H131" s="12" t="str">
        <x:v>公开摘要中未见AI相关要求；完整JD未核实。</x:v>
      </x:c>
      <x:c r="I131" s="12" t="str">
        <x:v>待团队复核</x:v>
      </x:c>
    </x:row>
    <x:row r="132" ht="54" customHeight="1">
      <x:c r="A132" s="18" t="str">
        <x:v>080</x:v>
      </x:c>
      <x:c r="B132" s="17" t="str">
        <x:v>BI分析师</x:v>
      </x:c>
      <x:c r="C132" s="17" t="str">
        <x:v>人工智能</x:v>
      </x:c>
      <x:c r="D132" s="17" t="str">
        <x:v>人工智能</x:v>
      </x:c>
      <x:c r="E132" s="17" t="str">
        <x:v>shbi2</x:v>
      </x:c>
      <x:c r="F132" s="17" t="str">
        <x:v>无补充来源</x:v>
      </x:c>
      <x:c r="G132" s="17" t="str">
        <x:v>公开岗位卡片摘要</x:v>
      </x:c>
      <x:c r="H132" s="17" t="str">
        <x:v>公开摘要中未见AI相关要求；完整JD未核实。</x:v>
      </x:c>
      <x:c r="I132" s="17" t="str">
        <x:v>待团队复核</x:v>
      </x:c>
    </x:row>
    <x:row r="133" ht="54" customHeight="1">
      <x:c r="A133" s="13" t="str">
        <x:v>081</x:v>
      </x:c>
      <x:c r="B133" s="12" t="str">
        <x:v>经营分析</x:v>
      </x:c>
      <x:c r="C133" s="12" t="str">
        <x:v>批发/零售</x:v>
      </x:c>
      <x:c r="D133" s="12" t="str">
        <x:v>消费品</x:v>
      </x:c>
      <x:c r="E133" s="12" t="str">
        <x:v>gzop</x:v>
      </x:c>
      <x:c r="F133" s="12" t="str">
        <x:v>无补充来源</x:v>
      </x:c>
      <x:c r="G133" s="12" t="str">
        <x:v>公开岗位卡片摘要</x:v>
      </x:c>
      <x:c r="H133" s="12" t="str">
        <x:v>公开摘要中未见AI相关要求；完整JD未核实。</x:v>
      </x:c>
      <x:c r="I133" s="12" t="str">
        <x:v>待团队复核</x:v>
      </x:c>
    </x:row>
    <x:row r="134" ht="54" customHeight="1">
      <x:c r="A134" s="18" t="str">
        <x:v>082</x:v>
      </x:c>
      <x:c r="B134" s="17" t="str">
        <x:v>经营分析</x:v>
      </x:c>
      <x:c r="C134" s="17" t="str">
        <x:v>物流/仓储</x:v>
      </x:c>
      <x:c r="D134" s="17" t="str">
        <x:v>物流</x:v>
      </x:c>
      <x:c r="E134" s="17" t="str">
        <x:v>gzop</x:v>
      </x:c>
      <x:c r="F134" s="17" t="str">
        <x:v>无补充来源</x:v>
      </x:c>
      <x:c r="G134" s="17" t="str">
        <x:v>公开岗位卡片摘要</x:v>
      </x:c>
      <x:c r="H134" s="17" t="str">
        <x:v>公开摘要中未见AI相关要求；完整JD未核实。</x:v>
      </x:c>
      <x:c r="I134" s="17" t="str">
        <x:v>待团队复核</x:v>
      </x:c>
    </x:row>
    <x:row r="135" ht="54" customHeight="1">
      <x:c r="A135" s="13" t="str">
        <x:v>083</x:v>
      </x:c>
      <x:c r="B135" s="12" t="str">
        <x:v>经营分析</x:v>
      </x:c>
      <x:c r="C135" s="12" t="str">
        <x:v>电子商务</x:v>
      </x:c>
      <x:c r="D135" s="12" t="str">
        <x:v>电子商务</x:v>
      </x:c>
      <x:c r="E135" s="12" t="str">
        <x:v>gzop</x:v>
      </x:c>
      <x:c r="F135" s="12" t="str">
        <x:v>无补充来源</x:v>
      </x:c>
      <x:c r="G135" s="12" t="str">
        <x:v>公开岗位卡片摘要</x:v>
      </x:c>
      <x:c r="H135" s="12" t="str">
        <x:v>公开摘要中未见AI相关要求；完整JD未核实。</x:v>
      </x:c>
      <x:c r="I135" s="12" t="str">
        <x:v>待团队复核</x:v>
      </x:c>
    </x:row>
    <x:row r="136" ht="54" customHeight="1">
      <x:c r="A136" s="18" t="str">
        <x:v>084</x:v>
      </x:c>
      <x:c r="B136" s="17" t="str">
        <x:v>经营分析</x:v>
      </x:c>
      <x:c r="C136" s="17" t="str">
        <x:v>互联网</x:v>
      </x:c>
      <x:c r="D136" s="17" t="str">
        <x:v>互联网/科技</x:v>
      </x:c>
      <x:c r="E136" s="17" t="str">
        <x:v>gzop</x:v>
      </x:c>
      <x:c r="F136" s="17" t="str">
        <x:v>无补充来源</x:v>
      </x:c>
      <x:c r="G136" s="17" t="str">
        <x:v>公开岗位卡片摘要</x:v>
      </x:c>
      <x:c r="H136" s="17" t="str">
        <x:v>公开摘要中未见AI相关要求；完整JD未核实。</x:v>
      </x:c>
      <x:c r="I136" s="17" t="str">
        <x:v>待团队复核</x:v>
      </x:c>
    </x:row>
    <x:row r="137" ht="54" customHeight="1">
      <x:c r="A137" s="13" t="str">
        <x:v>085</x:v>
      </x:c>
      <x:c r="B137" s="12" t="str">
        <x:v>经营分析</x:v>
      </x:c>
      <x:c r="C137" s="12" t="str">
        <x:v>风电</x:v>
      </x:c>
      <x:c r="D137" s="12" t="str">
        <x:v>新能源</x:v>
      </x:c>
      <x:c r="E137" s="12" t="str">
        <x:v>energy</x:v>
      </x:c>
      <x:c r="F137" s="12" t="str">
        <x:v>无补充来源</x:v>
      </x:c>
      <x:c r="G137" s="12" t="str">
        <x:v>公开岗位卡片摘要</x:v>
      </x:c>
      <x:c r="H137" s="12" t="str">
        <x:v>公开摘要中未见AI相关要求；完整JD未核实。</x:v>
      </x:c>
      <x:c r="I137" s="12" t="str">
        <x:v>待团队复核</x:v>
      </x:c>
    </x:row>
    <x:row r="138" ht="54" customHeight="1">
      <x:c r="A138" s="18" t="str">
        <x:v>086</x:v>
      </x:c>
      <x:c r="B138" s="17" t="str">
        <x:v>经营分析</x:v>
      </x:c>
      <x:c r="C138" s="17" t="str">
        <x:v>大数据</x:v>
      </x:c>
      <x:c r="D138" s="17" t="str">
        <x:v>互联网/科技</x:v>
      </x:c>
      <x:c r="E138" s="17" t="str">
        <x:v>bjop</x:v>
      </x:c>
      <x:c r="F138" s="17" t="str">
        <x:v>无补充来源</x:v>
      </x:c>
      <x:c r="G138" s="17" t="str">
        <x:v>公开岗位卡片摘要</x:v>
      </x:c>
      <x:c r="H138" s="17" t="str">
        <x:v>公开摘要中未见AI相关要求；完整JD未核实。</x:v>
      </x:c>
      <x:c r="I138" s="17" t="str">
        <x:v>待团队复核</x:v>
      </x:c>
    </x:row>
    <x:row r="139" ht="54" customHeight="1">
      <x:c r="A139" s="13" t="str">
        <x:v>087</x:v>
      </x:c>
      <x:c r="B139" s="12" t="str">
        <x:v>经营分析</x:v>
      </x:c>
      <x:c r="C139" s="12" t="str">
        <x:v>互联网</x:v>
      </x:c>
      <x:c r="D139" s="12" t="str">
        <x:v>互联网/科技</x:v>
      </x:c>
      <x:c r="E139" s="12" t="str">
        <x:v>bjop</x:v>
      </x:c>
      <x:c r="F139" s="12" t="str">
        <x:v>无补充来源</x:v>
      </x:c>
      <x:c r="G139" s="12" t="str">
        <x:v>公开岗位卡片摘要</x:v>
      </x:c>
      <x:c r="H139" s="12" t="str">
        <x:v>公开摘要中未见AI相关要求；完整JD未核实。</x:v>
      </x:c>
      <x:c r="I139" s="12" t="str">
        <x:v>待团队复核</x:v>
      </x:c>
    </x:row>
    <x:row r="140" ht="54" customHeight="1">
      <x:c r="A140" s="18" t="str">
        <x:v>088</x:v>
      </x:c>
      <x:c r="B140" s="17" t="str">
        <x:v>经营分析</x:v>
      </x:c>
      <x:c r="C140" s="17" t="str">
        <x:v>互联网</x:v>
      </x:c>
      <x:c r="D140" s="17" t="str">
        <x:v>互联网/科技</x:v>
      </x:c>
      <x:c r="E140" s="17" t="str">
        <x:v>bjop</x:v>
      </x:c>
      <x:c r="F140" s="17" t="str">
        <x:v>无补充来源</x:v>
      </x:c>
      <x:c r="G140" s="17" t="str">
        <x:v>公开岗位卡片摘要</x:v>
      </x:c>
      <x:c r="H140" s="17" t="str">
        <x:v>公开摘要中未见AI相关要求；完整JD未核实。</x:v>
      </x:c>
      <x:c r="I140" s="17" t="str">
        <x:v>待团队复核</x:v>
      </x:c>
    </x:row>
    <x:row r="141" ht="54" customHeight="1">
      <x:c r="A141" s="13" t="str">
        <x:v>089</x:v>
      </x:c>
      <x:c r="B141" s="12" t="str">
        <x:v>经营分析</x:v>
      </x:c>
      <x:c r="C141" s="12" t="str">
        <x:v>服装/纺织</x:v>
      </x:c>
      <x:c r="D141" s="12" t="str">
        <x:v>消费品</x:v>
      </x:c>
      <x:c r="E141" s="12" t="str">
        <x:v>bjop</x:v>
      </x:c>
      <x:c r="F141" s="12" t="str">
        <x:v>无补充来源</x:v>
      </x:c>
      <x:c r="G141" s="12" t="str">
        <x:v>公开岗位卡片摘要</x:v>
      </x:c>
      <x:c r="H141" s="12" t="str">
        <x:v>公开摘要中未见AI相关要求；完整JD未核实。</x:v>
      </x:c>
      <x:c r="I141" s="12" t="str">
        <x:v>待团队复核</x:v>
      </x:c>
    </x:row>
    <x:row r="142" ht="54" customHeight="1">
      <x:c r="A142" s="18" t="str">
        <x:v>090</x:v>
      </x:c>
      <x:c r="B142" s="17" t="str">
        <x:v>经营分析</x:v>
      </x:c>
      <x:c r="C142" s="17" t="str">
        <x:v>互联网</x:v>
      </x:c>
      <x:c r="D142" s="17" t="str">
        <x:v>互联网/科技</x:v>
      </x:c>
      <x:c r="E142" s="17" t="str">
        <x:v>hzop</x:v>
      </x:c>
      <x:c r="F142" s="17" t="str">
        <x:v>无补充来源</x:v>
      </x:c>
      <x:c r="G142" s="17" t="str">
        <x:v>公开岗位卡片摘要</x:v>
      </x:c>
      <x:c r="H142" s="17" t="str">
        <x:v>公开摘要中未见AI相关要求；完整JD未核实。</x:v>
      </x:c>
      <x:c r="I142" s="17" t="str">
        <x:v>待团队复核</x:v>
      </x:c>
    </x:row>
    <x:row r="143" ht="54" customHeight="1">
      <x:c r="A143" s="13" t="str">
        <x:v>091</x:v>
      </x:c>
      <x:c r="B143" s="12" t="str">
        <x:v>经营分析</x:v>
      </x:c>
      <x:c r="C143" s="12" t="str">
        <x:v>电子商务</x:v>
      </x:c>
      <x:c r="D143" s="12" t="str">
        <x:v>电子商务</x:v>
      </x:c>
      <x:c r="E143" s="12" t="str">
        <x:v>hzop</x:v>
      </x:c>
      <x:c r="F143" s="12" t="str">
        <x:v>无补充来源</x:v>
      </x:c>
      <x:c r="G143" s="12" t="str">
        <x:v>公开岗位卡片摘要</x:v>
      </x:c>
      <x:c r="H143" s="12" t="str">
        <x:v>公开摘要中未见AI相关要求；完整JD未核实。</x:v>
      </x:c>
      <x:c r="I143" s="12" t="str">
        <x:v>待团队复核</x:v>
      </x:c>
    </x:row>
    <x:row r="144" ht="54" customHeight="1">
      <x:c r="A144" s="18" t="str">
        <x:v>092</x:v>
      </x:c>
      <x:c r="B144" s="17" t="str">
        <x:v>经营分析</x:v>
      </x:c>
      <x:c r="C144" s="17" t="str">
        <x:v>日化</x:v>
      </x:c>
      <x:c r="D144" s="17" t="str">
        <x:v>消费品</x:v>
      </x:c>
      <x:c r="E144" s="17" t="str">
        <x:v>hzop</x:v>
      </x:c>
      <x:c r="F144" s="17" t="str">
        <x:v>无补充来源</x:v>
      </x:c>
      <x:c r="G144" s="17" t="str">
        <x:v>公开岗位卡片摘要</x:v>
      </x:c>
      <x:c r="H144" s="17" t="str">
        <x:v>公开摘要中未见AI相关要求；完整JD未核实。</x:v>
      </x:c>
      <x:c r="I144" s="17" t="str">
        <x:v>待团队复核</x:v>
      </x:c>
    </x:row>
    <x:row r="145" ht="54" customHeight="1">
      <x:c r="A145" s="13" t="str">
        <x:v>093</x:v>
      </x:c>
      <x:c r="B145" s="12" t="str">
        <x:v>经营分析</x:v>
      </x:c>
      <x:c r="C145" s="12" t="str">
        <x:v>家用电器</x:v>
      </x:c>
      <x:c r="D145" s="12" t="str">
        <x:v>制造业</x:v>
      </x:c>
      <x:c r="E145" s="12" t="str">
        <x:v>hzop</x:v>
      </x:c>
      <x:c r="F145" s="12" t="str">
        <x:v>无补充来源</x:v>
      </x:c>
      <x:c r="G145" s="12" t="str">
        <x:v>公开岗位卡片摘要</x:v>
      </x:c>
      <x:c r="H145" s="12" t="str">
        <x:v>公开摘要中未见AI相关要求；完整JD未核实。</x:v>
      </x:c>
      <x:c r="I145" s="12" t="str">
        <x:v>待团队复核</x:v>
      </x:c>
    </x:row>
    <x:row r="146" ht="54" customHeight="1">
      <x:c r="A146" s="18" t="str">
        <x:v>094</x:v>
      </x:c>
      <x:c r="B146" s="17" t="str">
        <x:v>经营分析</x:v>
      </x:c>
      <x:c r="C146" s="17" t="str">
        <x:v>互联网</x:v>
      </x:c>
      <x:c r="D146" s="17" t="str">
        <x:v>互联网/科技</x:v>
      </x:c>
      <x:c r="E146" s="17" t="str">
        <x:v>shop</x:v>
      </x:c>
      <x:c r="F146" s="17" t="str">
        <x:v>无补充来源</x:v>
      </x:c>
      <x:c r="G146" s="17" t="str">
        <x:v>公开岗位卡片摘要</x:v>
      </x:c>
      <x:c r="H146" s="17" t="str">
        <x:v>公开摘要中未见AI相关要求；完整JD未核实。</x:v>
      </x:c>
      <x:c r="I146" s="17" t="str">
        <x:v>待团队复核</x:v>
      </x:c>
    </x:row>
    <x:row r="147" ht="54" customHeight="1">
      <x:c r="A147" s="13" t="str">
        <x:v>095</x:v>
      </x:c>
      <x:c r="B147" s="12" t="str">
        <x:v>经营分析</x:v>
      </x:c>
      <x:c r="C147" s="12" t="str">
        <x:v>通信/网络设备</x:v>
      </x:c>
      <x:c r="D147" s="12" t="str">
        <x:v>制造业</x:v>
      </x:c>
      <x:c r="E147" s="12" t="str">
        <x:v>shop</x:v>
      </x:c>
      <x:c r="F147" s="12" t="str">
        <x:v>无补充来源</x:v>
      </x:c>
      <x:c r="G147" s="12" t="str">
        <x:v>公开岗位卡片摘要</x:v>
      </x:c>
      <x:c r="H147" s="12" t="str">
        <x:v>公开摘要中未见AI相关要求；完整JD未核实。</x:v>
      </x:c>
      <x:c r="I147" s="12" t="str">
        <x:v>待团队复核</x:v>
      </x:c>
    </x:row>
    <x:row r="148" ht="54" customHeight="1">
      <x:c r="A148" s="18" t="str">
        <x:v>096</x:v>
      </x:c>
      <x:c r="B148" s="17" t="str">
        <x:v>经营分析</x:v>
      </x:c>
      <x:c r="C148" s="17" t="str">
        <x:v>新能源</x:v>
      </x:c>
      <x:c r="D148" s="17" t="str">
        <x:v>新能源</x:v>
      </x:c>
      <x:c r="E148" s="17" t="str">
        <x:v>shop</x:v>
      </x:c>
      <x:c r="F148" s="17" t="str">
        <x:v>无补充来源</x:v>
      </x:c>
      <x:c r="G148" s="17" t="str">
        <x:v>公开岗位卡片摘要</x:v>
      </x:c>
      <x:c r="H148" s="17" t="str">
        <x:v>公开摘要中未见AI相关要求；完整JD未核实。</x:v>
      </x:c>
      <x:c r="I148" s="17" t="str">
        <x:v>待团队复核</x:v>
      </x:c>
    </x:row>
    <x:row r="149" ht="54" customHeight="1">
      <x:c r="A149" s="13" t="str">
        <x:v>097</x:v>
      </x:c>
      <x:c r="B149" s="12" t="str">
        <x:v>经营分析</x:v>
      </x:c>
      <x:c r="C149" s="12" t="str">
        <x:v>互联网金融</x:v>
      </x:c>
      <x:c r="D149" s="12" t="str">
        <x:v>金融科技</x:v>
      </x:c>
      <x:c r="E149" s="12" t="str">
        <x:v>shop</x:v>
      </x:c>
      <x:c r="F149" s="12" t="str">
        <x:v>无补充来源</x:v>
      </x:c>
      <x:c r="G149" s="12" t="str">
        <x:v>公开岗位卡片摘要</x:v>
      </x:c>
      <x:c r="H149" s="12" t="str">
        <x:v>公开摘要中未见AI相关要求；完整JD未核实。</x:v>
      </x:c>
      <x:c r="I149" s="12" t="str">
        <x:v>待团队复核</x:v>
      </x:c>
    </x:row>
    <x:row r="150" ht="54" customHeight="1">
      <x:c r="A150" s="18" t="str">
        <x:v>098</x:v>
      </x:c>
      <x:c r="B150" s="17" t="str">
        <x:v>经营分析</x:v>
      </x:c>
      <x:c r="C150" s="17" t="str">
        <x:v>互联网</x:v>
      </x:c>
      <x:c r="D150" s="17" t="str">
        <x:v>互联网/科技</x:v>
      </x:c>
      <x:c r="E150" s="17" t="str">
        <x:v>szop</x:v>
      </x:c>
      <x:c r="F150" s="17" t="str">
        <x:v>无补充来源</x:v>
      </x:c>
      <x:c r="G150" s="17" t="str">
        <x:v>公开岗位卡片摘要</x:v>
      </x:c>
      <x:c r="H150" s="17" t="str">
        <x:v>公开摘要中未见AI相关要求；完整JD未核实。</x:v>
      </x:c>
      <x:c r="I150" s="17" t="str">
        <x:v>待团队复核</x:v>
      </x:c>
    </x:row>
    <x:row r="151" ht="54" customHeight="1">
      <x:c r="A151" s="13" t="str">
        <x:v>099</x:v>
      </x:c>
      <x:c r="B151" s="12" t="str">
        <x:v>经营分析</x:v>
      </x:c>
      <x:c r="C151" s="12" t="str">
        <x:v>智能硬件</x:v>
      </x:c>
      <x:c r="D151" s="12" t="str">
        <x:v>制造业</x:v>
      </x:c>
      <x:c r="E151" s="12" t="str">
        <x:v>szop</x:v>
      </x:c>
      <x:c r="F151" s="12" t="str">
        <x:v>无补充来源</x:v>
      </x:c>
      <x:c r="G151" s="12" t="str">
        <x:v>公开岗位卡片摘要</x:v>
      </x:c>
      <x:c r="H151" s="12" t="str">
        <x:v>为运营、财务和供应链输出分析，探索AI工具的应用。</x:v>
      </x:c>
      <x:c r="I151" s="12" t="str">
        <x:v>待团队复核</x:v>
      </x:c>
    </x:row>
    <x:row r="152" ht="54" customHeight="1">
      <x:c r="A152" s="18" t="str">
        <x:v>100</x:v>
      </x:c>
      <x:c r="B152" s="17" t="str">
        <x:v>经营分析</x:v>
      </x:c>
      <x:c r="C152" s="17" t="str">
        <x:v>智能硬件</x:v>
      </x:c>
      <x:c r="D152" s="17" t="str">
        <x:v>制造业</x:v>
      </x:c>
      <x:c r="E152" s="17" t="str">
        <x:v>szop</x:v>
      </x:c>
      <x:c r="F152" s="17" t="str">
        <x:v>无补充来源</x:v>
      </x:c>
      <x:c r="G152" s="17" t="str">
        <x:v>公开岗位卡片摘要</x:v>
      </x:c>
      <x:c r="H152" s="17" t="str">
        <x:v>公开摘要中未见AI相关要求；完整JD未核实。</x:v>
      </x:c>
      <x:c r="I152" s="17" t="str">
        <x:v>待团队复核</x:v>
      </x:c>
    </x:row>
    <x:row r="153">
      <x:c r="A153" s="3"/>
      <x:c r="B153" s="3"/>
      <x:c r="C153" s="3"/>
      <x:c r="D153" s="3"/>
      <x:c r="E153" s="3"/>
      <x:c r="F153" s="3"/>
      <x:c r="G153" s="3"/>
      <x:c r="H153" s="3"/>
      <x:c r="I153" s="3"/>
    </x:row>
    <x:row r="154">
      <x:c r="A154" s="3"/>
      <x:c r="B154" s="3"/>
      <x:c r="C154" s="3"/>
      <x:c r="D154" s="3"/>
      <x:c r="E154" s="3"/>
      <x:c r="F154" s="3"/>
      <x:c r="G154" s="3"/>
      <x:c r="H154" s="3"/>
      <x:c r="I154" s="3"/>
    </x:row>
    <x:row r="155">
      <x:c r="A155" s="3"/>
      <x:c r="B155" s="3"/>
      <x:c r="C155" s="3"/>
      <x:c r="D155" s="3"/>
      <x:c r="E155" s="3"/>
      <x:c r="F155" s="3"/>
      <x:c r="G155" s="3"/>
      <x:c r="H155" s="3"/>
      <x:c r="I155" s="3"/>
    </x:row>
    <x:row r="156">
      <x:c r="A156" s="3"/>
      <x:c r="B156" s="3"/>
      <x:c r="C156" s="3"/>
      <x:c r="D156" s="3"/>
      <x:c r="E156" s="3"/>
      <x:c r="F156" s="3"/>
      <x:c r="G156" s="3"/>
      <x:c r="H156" s="3"/>
      <x:c r="I156" s="3"/>
    </x:row>
    <x:row r="157">
      <x:c r="A157" s="3"/>
      <x:c r="B157" s="3"/>
      <x:c r="C157" s="3"/>
      <x:c r="D157" s="3"/>
      <x:c r="E157" s="3"/>
      <x:c r="F157" s="3"/>
      <x:c r="G157" s="3"/>
      <x:c r="H157" s="3"/>
      <x:c r="I157" s="3"/>
    </x:row>
    <x:row r="158">
      <x:c r="A158" s="3"/>
      <x:c r="B158" s="3"/>
      <x:c r="C158" s="3"/>
      <x:c r="D158" s="3"/>
      <x:c r="E158" s="3"/>
      <x:c r="F158" s="3"/>
      <x:c r="G158" s="3"/>
      <x:c r="H158" s="3"/>
      <x:c r="I158" s="3"/>
    </x:row>
    <x:row r="159">
      <x:c r="A159" s="3"/>
      <x:c r="B159" s="3"/>
      <x:c r="C159" s="3"/>
      <x:c r="D159" s="3"/>
      <x:c r="E159" s="3"/>
      <x:c r="F159" s="3"/>
      <x:c r="G159" s="3"/>
      <x:c r="H159" s="3"/>
      <x:c r="I159" s="3"/>
    </x:row>
    <x:row r="160">
      <x:c r="A160" s="3"/>
      <x:c r="B160" s="3"/>
      <x:c r="C160" s="3"/>
      <x:c r="D160" s="3"/>
      <x:c r="E160" s="3"/>
      <x:c r="F160" s="3"/>
      <x:c r="G160" s="3"/>
      <x:c r="H160" s="3"/>
      <x:c r="I160" s="3"/>
    </x:row>
    <x:row r="161">
      <x:c r="A161" s="3"/>
      <x:c r="B161" s="3"/>
      <x:c r="C161" s="3"/>
      <x:c r="D161" s="3"/>
      <x:c r="E161" s="3"/>
      <x:c r="F161" s="3"/>
      <x:c r="G161" s="3"/>
      <x:c r="H161" s="3"/>
      <x:c r="I161" s="3"/>
    </x:row>
    <x:row r="162">
      <x:c r="A162" s="3"/>
      <x:c r="B162" s="3"/>
      <x:c r="C162" s="3"/>
      <x:c r="D162" s="3"/>
      <x:c r="E162" s="3"/>
      <x:c r="F162" s="3"/>
      <x:c r="G162" s="3"/>
      <x:c r="H162" s="3"/>
      <x:c r="I162" s="3"/>
    </x:row>
    <x:row r="163">
      <x:c r="A163" s="3"/>
      <x:c r="B163" s="3"/>
      <x:c r="C163" s="3"/>
      <x:c r="D163" s="3"/>
      <x:c r="E163" s="3"/>
      <x:c r="F163" s="3"/>
      <x:c r="G163" s="3"/>
      <x:c r="H163" s="3"/>
      <x:c r="I163" s="3"/>
    </x:row>
    <x:row r="164">
      <x:c r="A164" s="3"/>
      <x:c r="B164" s="3"/>
      <x:c r="C164" s="3"/>
      <x:c r="D164" s="3"/>
      <x:c r="E164" s="3"/>
      <x:c r="F164" s="3"/>
      <x:c r="G164" s="3"/>
      <x:c r="H164" s="3"/>
      <x:c r="I164" s="3"/>
    </x:row>
    <x:row r="165">
      <x:c r="A165" s="3"/>
      <x:c r="B165" s="3"/>
      <x:c r="C165" s="3"/>
      <x:c r="D165" s="3"/>
      <x:c r="E165" s="3"/>
      <x:c r="F165" s="3"/>
      <x:c r="G165" s="3"/>
      <x:c r="H165" s="3"/>
      <x:c r="I165" s="3"/>
    </x:row>
    <x:row r="166">
      <x:c r="A166" s="3"/>
      <x:c r="B166" s="3"/>
      <x:c r="C166" s="3"/>
      <x:c r="D166" s="3"/>
      <x:c r="E166" s="3"/>
      <x:c r="F166" s="3"/>
      <x:c r="G166" s="3"/>
      <x:c r="H166" s="3"/>
      <x:c r="I166" s="3"/>
    </x:row>
    <x:row r="167">
      <x:c r="A167" s="3"/>
      <x:c r="B167" s="3"/>
      <x:c r="C167" s="3"/>
      <x:c r="D167" s="3"/>
      <x:c r="E167" s="3"/>
      <x:c r="F167" s="3"/>
      <x:c r="G167" s="3"/>
      <x:c r="H167" s="3"/>
      <x:c r="I167" s="3"/>
    </x:row>
    <x:row r="168">
      <x:c r="A168" s="3"/>
      <x:c r="B168" s="3"/>
      <x:c r="C168" s="3"/>
      <x:c r="D168" s="3"/>
      <x:c r="E168" s="3"/>
      <x:c r="F168" s="3"/>
      <x:c r="G168" s="3"/>
      <x:c r="H168" s="3"/>
      <x:c r="I168" s="3"/>
    </x:row>
    <x:row r="169">
      <x:c r="A169" s="3"/>
      <x:c r="B169" s="3"/>
      <x:c r="C169" s="3"/>
      <x:c r="D169" s="3"/>
      <x:c r="E169" s="3"/>
      <x:c r="F169" s="3"/>
      <x:c r="G169" s="3"/>
      <x:c r="H169" s="3"/>
      <x:c r="I169" s="3"/>
    </x:row>
    <x:row r="170">
      <x:c r="A170" s="3"/>
      <x:c r="B170" s="3"/>
      <x:c r="C170" s="3"/>
      <x:c r="D170" s="3"/>
      <x:c r="E170" s="3"/>
      <x:c r="F170" s="3"/>
      <x:c r="G170" s="3"/>
      <x:c r="H170" s="3"/>
      <x:c r="I170" s="3"/>
    </x:row>
  </x:sheetData>
  <x:mergeCells>
    <x:mergeCell ref="B3:F3"/>
    <x:mergeCell ref="B4:F4"/>
    <x:mergeCell ref="A28:C28"/>
    <x:mergeCell ref="A37:C37"/>
    <x:mergeCell ref="A50:I50"/>
    <x:mergeCell ref="C8:F8"/>
    <x:mergeCell ref="C9:F9"/>
    <x:mergeCell ref="C10:F10"/>
    <x:mergeCell ref="C11:F11"/>
    <x:mergeCell ref="C12:F12"/>
    <x:mergeCell ref="C13:F13"/>
    <x:mergeCell ref="C14:F14"/>
    <x:mergeCell ref="C15:F15"/>
    <x:mergeCell ref="C16:F16"/>
    <x:mergeCell ref="C17:F17"/>
    <x:mergeCell ref="C18:F18"/>
    <x:mergeCell ref="C19:F19"/>
    <x:mergeCell ref="C20:F20"/>
    <x:mergeCell ref="C21:F21"/>
    <x:mergeCell ref="C22:F22"/>
    <x:mergeCell ref="C23:F23"/>
    <x:mergeCell ref="C24:F24"/>
    <x:mergeCell ref="C25:F25"/>
    <x:mergeCell ref="C30:F30"/>
    <x:mergeCell ref="C31:F31"/>
    <x:mergeCell ref="C32:F32"/>
    <x:mergeCell ref="C33:F33"/>
    <x:mergeCell ref="C34:F34"/>
    <x:mergeCell ref="C39:F39"/>
    <x:mergeCell ref="C40:F40"/>
    <x:mergeCell ref="C41:F41"/>
    <x:mergeCell ref="C42:F42"/>
    <x:mergeCell ref="C43:F43"/>
    <x:mergeCell ref="C44:F44"/>
    <x:mergeCell ref="C45:F45"/>
    <x:mergeCell ref="C46:F46"/>
    <x:mergeCell ref="C47:F47"/>
    <x:mergeCell ref="A1:I1"/>
    <x:mergeCell ref="C7:F7"/>
  </x:mergeCells>
  <x:pageMargins left="0.7" right="0.7" top="0.75" bottom="0.75" header="0.3" footer="0.3"/>
</x:worksheet>
</file>

<file path=xl/worksheets/sheet3.xml><?xml version="1.0" encoding="utf-8"?>
<x:worksheet xmlns:x="http://schemas.openxmlformats.org/spreadsheetml/2006/main">
  <x:sheetPr>
    <x:tabColor rgb="FF087E8B"/>
  </x:sheetPr>
  <x:sheetViews>
    <x:sheetView showGridLines="0" workbookViewId="0">
      <x:pane ySplit="2" topLeftCell="A3" activePane="bottomLeft" state="frozen"/>
    </x:sheetView>
  </x:sheetViews>
  <x:sheetFormatPr defaultRowHeight="15"/>
  <x:cols>
    <x:col min="1" max="1" width="26" hidden="0" customWidth="1"/>
    <x:col min="2" max="2" width="17" hidden="0" customWidth="1"/>
    <x:col min="3" max="3" width="17" hidden="0" customWidth="1"/>
    <x:col min="4" max="4" width="17" hidden="0" customWidth="1"/>
    <x:col min="5" max="5" width="17" hidden="0" customWidth="1"/>
    <x:col min="6" max="6" width="17" hidden="0" customWidth="1"/>
  </x:cols>
  <x:sheetData>
    <x:row r="1" ht="29" customHeight="1">
      <x:c r="A1" s="23" t="str">
        <x:v>Collection protocol</x:v>
      </x:c>
      <x:c r="B1" s="23"/>
      <x:c r="C1" s="23"/>
      <x:c r="D1" s="23"/>
      <x:c r="E1" s="23"/>
      <x:c r="F1" s="23"/>
      <x:c r="G1" s="3"/>
      <x:c r="H1" s="3"/>
      <x:c r="I1" s="3"/>
    </x:row>
    <x:row r="2">
      <x:c r="A2" s="3"/>
      <x:c r="B2" s="3"/>
      <x:c r="C2" s="3"/>
      <x:c r="D2" s="3"/>
      <x:c r="E2" s="3"/>
      <x:c r="F2" s="3"/>
      <x:c r="G2" s="3"/>
      <x:c r="H2" s="3"/>
      <x:c r="I2" s="3"/>
    </x:row>
    <x:row r="3" ht="38" customHeight="1">
      <x:c r="A3" s="25" t="str">
        <x:v>Data source</x:v>
      </x:c>
      <x:c r="B3" s="17" t="str">
        <x:v>BOSS直聘</x:v>
      </x:c>
      <x:c r="C3" s="17"/>
      <x:c r="D3" s="17"/>
      <x:c r="E3" s="17"/>
      <x:c r="F3" s="17"/>
      <x:c r="G3" s="3"/>
      <x:c r="H3" s="3"/>
      <x:c r="I3" s="3"/>
    </x:row>
    <x:row r="4" ht="38" customHeight="1">
      <x:c r="A4" s="26" t="str">
        <x:v>Keywords</x:v>
      </x:c>
      <x:c r="B4" s="12" t="str">
        <x:v>数据分析师; 商业分析师; BI分析师; 经营分析; Business Analyst</x:v>
      </x:c>
      <x:c r="C4" s="12"/>
      <x:c r="D4" s="12"/>
      <x:c r="E4" s="12"/>
      <x:c r="F4" s="12"/>
      <x:c r="G4" s="3"/>
      <x:c r="H4" s="3"/>
      <x:c r="I4" s="3"/>
    </x:row>
    <x:row r="5" ht="38" customHeight="1">
      <x:c r="A5" s="25" t="str">
        <x:v>Additional terms</x:v>
      </x:c>
      <x:c r="B5" s="17" t="str">
        <x:v>Data Analyst; BI Analyst; Business Intelligence Analyst; 商业数据分析; 经营数据分析; city/sector variants.</x:v>
      </x:c>
      <x:c r="C5" s="17"/>
      <x:c r="D5" s="17"/>
      <x:c r="E5" s="17"/>
      <x:c r="F5" s="17"/>
      <x:c r="G5" s="3"/>
      <x:c r="H5" s="3"/>
      <x:c r="I5" s="3"/>
    </x:row>
    <x:row r="6" ht="38" customHeight="1">
      <x:c r="A6" s="26" t="str">
        <x:v>Collection method</x:v>
      </x:c>
      <x:c r="B6" s="12" t="str">
        <x:v>Manual structured collection</x:v>
      </x:c>
      <x:c r="C6" s="12"/>
      <x:c r="D6" s="12"/>
      <x:c r="E6" s="12"/>
      <x:c r="F6" s="12"/>
      <x:c r="G6" s="3"/>
      <x:c r="H6" s="3"/>
      <x:c r="I6" s="3"/>
    </x:row>
    <x:row r="7" ht="49" customHeight="1">
      <x:c r="A7" s="25" t="str">
        <x:v>Implementation</x:v>
      </x:c>
      <x:c r="B7" s="17" t="str">
        <x:v>AI-assisted reading and structured transcription of public indexed BOSS posting cards. No automated scraper or access-control bypass; independent human review remains pending.</x:v>
      </x:c>
      <x:c r="C7" s="17"/>
      <x:c r="D7" s="17"/>
      <x:c r="E7" s="17"/>
      <x:c r="F7" s="17"/>
      <x:c r="G7" s="3"/>
      <x:c r="H7" s="3"/>
      <x:c r="I7" s="3"/>
    </x:row>
    <x:row r="8" ht="38" customHeight="1">
      <x:c r="A8" s="26" t="str">
        <x:v>Collection period</x:v>
      </x:c>
      <x:c r="B8" s="12" t="str">
        <x:v>2026-09-28. Public indexed snapshots can predate this date; original posting dates were not available.</x:v>
      </x:c>
      <x:c r="C8" s="12"/>
      <x:c r="D8" s="12"/>
      <x:c r="E8" s="12"/>
      <x:c r="F8" s="12"/>
      <x:c r="G8" s="3"/>
      <x:c r="H8" s="3"/>
      <x:c r="I8" s="3"/>
    </x:row>
    <x:row r="9" ht="49" customHeight="1">
      <x:c r="A9" s="25" t="str">
        <x:v>Target and unit</x:v>
      </x:c>
      <x:c r="B9" s="17" t="str">
        <x:v>One distinct job posting; purposive convenience sample of BA-related roles in five mainland Chinese cities.</x:v>
      </x:c>
      <x:c r="C9" s="17"/>
      <x:c r="D9" s="17"/>
      <x:c r="E9" s="17"/>
      <x:c r="F9" s="17"/>
      <x:c r="G9" s="3"/>
      <x:c r="H9" s="3"/>
      <x:c r="I9" s="3"/>
    </x:row>
    <x:row r="10" ht="38" customHeight="1">
      <x:c r="A10" s="26" t="str">
        <x:v>Role targets</x:v>
      </x:c>
      <x:c r="B10" s="12" t="str">
        <x:v>数据分析师 40; 商业分析师 20; BI分析师 20; 经营分析 20. These are coverage targets, not estimates of market shares.</x:v>
      </x:c>
      <x:c r="C10" s="12"/>
      <x:c r="D10" s="12"/>
      <x:c r="E10" s="12"/>
      <x:c r="F10" s="12"/>
      <x:c r="G10" s="3"/>
      <x:c r="H10" s="3"/>
      <x:c r="I10" s="3"/>
    </x:row>
    <x:row r="11" ht="38" customHeight="1">
      <x:c r="A11" s="25" t="str">
        <x:v>City coverage</x:v>
      </x:c>
      <x:c r="B11" s="17" t="str">
        <x:v>北京; 上海; 杭州; 深圳; 广州. Use the posting-card location, not the page title.</x:v>
      </x:c>
      <x:c r="C11" s="17"/>
      <x:c r="D11" s="17"/>
      <x:c r="E11" s="17"/>
      <x:c r="F11" s="17"/>
      <x:c r="G11" s="3"/>
      <x:c r="H11" s="3"/>
      <x:c r="I11" s="3"/>
    </x:row>
    <x:row r="12" ht="38" customHeight="1">
      <x:c r="A12" s="26" t="str">
        <x:v>Industry coverage</x:v>
      </x:c>
      <x:c r="B12" s="12" t="str">
        <x:v>互联网/科技; 金融科技; 电子商务; 人工智能; 制造业; 新能源; 物流; 消费品.</x:v>
      </x:c>
      <x:c r="C12" s="12"/>
      <x:c r="D12" s="12"/>
      <x:c r="E12" s="12"/>
      <x:c r="F12" s="12"/>
      <x:c r="G12" s="3"/>
      <x:c r="H12" s="3"/>
      <x:c r="I12" s="3"/>
    </x:row>
    <x:row r="13" ht="49" customHeight="1">
      <x:c r="A13" s="25" t="str">
        <x:v>Step 1 Search</x:v>
      </x:c>
      <x:c r="B13" s="17" t="str">
        <x:v>Search role keywords and city/sector variants; inspect public BOSS results. Do not select only AI-positive jobs.</x:v>
      </x:c>
      <x:c r="C13" s="17"/>
      <x:c r="D13" s="17"/>
      <x:c r="E13" s="17"/>
      <x:c r="F13" s="17"/>
      <x:c r="G13" s="3"/>
      <x:c r="H13" s="3"/>
      <x:c r="I13" s="3"/>
    </x:row>
    <x:row r="14" ht="49" customHeight="1">
      <x:c r="A14" s="26" t="str">
        <x:v>Step 2 Select</x:v>
      </x:c>
      <x:c r="B14" s="12" t="str">
        <x:v>Check role relevance and essential fields against each visible card. Retain the original displayed company and title.</x:v>
      </x:c>
      <x:c r="C14" s="12"/>
      <x:c r="D14" s="12"/>
      <x:c r="E14" s="12"/>
      <x:c r="F14" s="12"/>
      <x:c r="G14" s="3"/>
      <x:c r="H14" s="3"/>
      <x:c r="I14" s="3"/>
    </x:row>
    <x:row r="15" ht="49" customHeight="1">
      <x:c r="A15" s="25" t="str">
        <x:v>Step 3 Record</x:v>
      </x:c>
      <x:c r="B15" s="17" t="str">
        <x:v>Record salary, experience, education and location; extract supported skills, paraphrase the JD excerpt, and preserve the source URL.</x:v>
      </x:c>
      <x:c r="C15" s="17"/>
      <x:c r="D15" s="17"/>
      <x:c r="E15" s="17"/>
      <x:c r="F15" s="17"/>
      <x:c r="G15" s="3"/>
      <x:c r="H15" s="3"/>
      <x:c r="I15" s="3"/>
    </x:row>
    <x:row r="16" ht="49" customHeight="1">
      <x:c r="A16" s="26" t="str">
        <x:v>Step 4 Code</x:v>
      </x:c>
      <x:c r="B16" s="12" t="str">
        <x:v>Apply Coding_Rules; record role family, original industry basis and AI evidence. Do not infer AI from employer industry alone.</x:v>
      </x:c>
      <x:c r="C16" s="12"/>
      <x:c r="D16" s="12"/>
      <x:c r="E16" s="12"/>
      <x:c r="F16" s="12"/>
      <x:c r="G16" s="3"/>
      <x:c r="H16" s="3"/>
      <x:c r="I16" s="3"/>
    </x:row>
    <x:row r="17" ht="38" customHeight="1">
      <x:c r="A17" s="25" t="str">
        <x:v>Step 5 Clean</x:v>
      </x:c>
      <x:c r="B17" s="17" t="str">
        <x:v>Normalize text and categories, remove duplicate keys, sort by family, then assign IDs 001–100.</x:v>
      </x:c>
      <x:c r="C17" s="17"/>
      <x:c r="D17" s="17"/>
      <x:c r="E17" s="17"/>
      <x:c r="F17" s="17"/>
      <x:c r="G17" s="3"/>
      <x:c r="H17" s="3"/>
      <x:c r="I17" s="3"/>
    </x:row>
    <x:row r="18" ht="49" customHeight="1">
      <x:c r="A18" s="26" t="str">
        <x:v>Step 6 Validate</x:v>
      </x:c>
      <x:c r="B18" s="12" t="str">
        <x:v>Run the supplied validation script or notebook; check all 15 fields, quotas, categories and AI consistency.</x:v>
      </x:c>
      <x:c r="C18" s="12"/>
      <x:c r="D18" s="12"/>
      <x:c r="E18" s="12"/>
      <x:c r="F18" s="12"/>
      <x:c r="G18" s="3"/>
      <x:c r="H18" s="3"/>
      <x:c r="I18" s="3"/>
    </x:row>
    <x:row r="19" ht="49" customHeight="1">
      <x:c r="A19" s="25" t="str">
        <x:v>First attempt outcome</x:v>
      </x:c>
      <x:c r="B19" s="17" t="str">
        <x:v>100 selected unique records from 28 public listing pages. Job-detail access encountered verification barriers; full JDs were not collected. Total screened/excluded counts were not logged.</x:v>
      </x:c>
      <x:c r="C19" s="17"/>
      <x:c r="D19" s="17"/>
      <x:c r="E19" s="17"/>
      <x:c r="F19" s="17"/>
      <x:c r="G19" s="3"/>
      <x:c r="H19" s="3"/>
      <x:c r="I19" s="3"/>
    </x:row>
    <x:row r="20" ht="66" customHeight="1">
      <x:c r="A20" s="26" t="str">
        <x:v>Registered fallback</x:v>
      </x:c>
      <x:c r="B20" s="12" t="str">
        <x:v>If BOSS cannot supply sufficient verifiable information, collect manually from Liepin, then Zhaopin, using the same schema. Record the actual source and report source changes. Neither fallback was used in this pilot.</x:v>
      </x:c>
      <x:c r="C20" s="12"/>
      <x:c r="D20" s="12"/>
      <x:c r="E20" s="12"/>
      <x:c r="F20" s="12"/>
      <x:c r="G20" s="3"/>
      <x:c r="H20" s="3"/>
      <x:c r="I20" s="3"/>
    </x:row>
    <x:row r="21" ht="49" customHeight="1">
      <x:c r="A21" s="25" t="str">
        <x:v>Reproduction limits</x:v>
      </x:c>
      <x:c r="B21" s="17" t="str">
        <x:v>Re-running checks reproduces this saved pilot. A new website collection may differ because listings and search indexes change; links are listing pages, not permanent snapshots.</x:v>
      </x:c>
      <x:c r="C21" s="17"/>
      <x:c r="D21" s="17"/>
      <x:c r="E21" s="17"/>
      <x:c r="F21" s="17"/>
      <x:c r="G21" s="3"/>
      <x:c r="H21" s="3"/>
      <x:c r="I21" s="3"/>
    </x:row>
    <x:row r="22" ht="49" customHeight="1">
      <x:c r="A22" s="26" t="str">
        <x:v>Review before inference</x:v>
      </x:c>
      <x:c r="B22" s="12" t="str">
        <x:v>Team members should inspect accessible full JDs and adjudicate AI coding before making claims about complete job requirements or nationwide 2026 prevalence.</x:v>
      </x:c>
      <x:c r="C22" s="12"/>
      <x:c r="D22" s="12"/>
      <x:c r="E22" s="12"/>
      <x:c r="F22" s="12"/>
      <x:c r="G22" s="3"/>
      <x:c r="H22" s="3"/>
      <x:c r="I22" s="3"/>
    </x:row>
    <x:row r="23">
      <x:c r="A23" s="3"/>
      <x:c r="B23" s="3"/>
      <x:c r="C23" s="3"/>
      <x:c r="D23" s="3"/>
      <x:c r="E23" s="3"/>
      <x:c r="F23" s="3"/>
      <x:c r="G23" s="3"/>
      <x:c r="H23" s="3"/>
      <x:c r="I23" s="3"/>
    </x:row>
    <x:row r="24">
      <x:c r="A24" s="3"/>
      <x:c r="B24" s="3"/>
      <x:c r="C24" s="3"/>
      <x:c r="D24" s="3"/>
      <x:c r="E24" s="3"/>
      <x:c r="F24" s="3"/>
      <x:c r="G24" s="3"/>
      <x:c r="H24" s="3"/>
      <x:c r="I24" s="3"/>
    </x:row>
    <x:row r="25">
      <x:c r="A25" s="3"/>
      <x:c r="B25" s="3"/>
      <x:c r="C25" s="3"/>
      <x:c r="D25" s="3"/>
      <x:c r="E25" s="3"/>
      <x:c r="F25" s="3"/>
      <x:c r="G25" s="3"/>
      <x:c r="H25" s="3"/>
      <x:c r="I25" s="3"/>
    </x:row>
    <x:row r="26">
      <x:c r="A26" s="3"/>
      <x:c r="B26" s="3"/>
      <x:c r="C26" s="3"/>
      <x:c r="D26" s="3"/>
      <x:c r="E26" s="3"/>
      <x:c r="F26" s="3"/>
      <x:c r="G26" s="3"/>
      <x:c r="H26" s="3"/>
      <x:c r="I26" s="3"/>
    </x:row>
    <x:row r="27">
      <x:c r="A27" s="3"/>
      <x:c r="B27" s="3"/>
      <x:c r="C27" s="3"/>
      <x:c r="D27" s="3"/>
      <x:c r="E27" s="3"/>
      <x:c r="F27" s="3"/>
      <x:c r="G27" s="3"/>
      <x:c r="H27" s="3"/>
      <x:c r="I27" s="3"/>
    </x:row>
    <x:row r="28">
      <x:c r="A28" s="3"/>
      <x:c r="B28" s="3"/>
      <x:c r="C28" s="3"/>
      <x:c r="D28" s="3"/>
      <x:c r="E28" s="3"/>
      <x:c r="F28" s="3"/>
      <x:c r="G28" s="3"/>
      <x:c r="H28" s="3"/>
      <x:c r="I28" s="3"/>
    </x:row>
    <x:row r="29">
      <x:c r="A29" s="3"/>
      <x:c r="B29" s="3"/>
      <x:c r="C29" s="3"/>
      <x:c r="D29" s="3"/>
      <x:c r="E29" s="3"/>
      <x:c r="F29" s="3"/>
      <x:c r="G29" s="3"/>
      <x:c r="H29" s="3"/>
      <x:c r="I29" s="3"/>
    </x:row>
    <x:row r="30">
      <x:c r="A30" s="3"/>
      <x:c r="B30" s="3"/>
      <x:c r="C30" s="3"/>
      <x:c r="D30" s="3"/>
      <x:c r="E30" s="3"/>
      <x:c r="F30" s="3"/>
      <x:c r="G30" s="3"/>
      <x:c r="H30" s="3"/>
      <x:c r="I30" s="3"/>
    </x:row>
    <x:row r="31">
      <x:c r="A31" s="3"/>
      <x:c r="B31" s="3"/>
      <x:c r="C31" s="3"/>
      <x:c r="D31" s="3"/>
      <x:c r="E31" s="3"/>
      <x:c r="F31" s="3"/>
      <x:c r="G31" s="3"/>
      <x:c r="H31" s="3"/>
      <x:c r="I31" s="3"/>
    </x:row>
    <x:row r="32">
      <x:c r="A32" s="3"/>
      <x:c r="B32" s="3"/>
      <x:c r="C32" s="3"/>
      <x:c r="D32" s="3"/>
      <x:c r="E32" s="3"/>
      <x:c r="F32" s="3"/>
      <x:c r="G32" s="3"/>
      <x:c r="H32" s="3"/>
      <x:c r="I32" s="3"/>
    </x:row>
    <x:row r="33">
      <x:c r="A33" s="3"/>
      <x:c r="B33" s="3"/>
      <x:c r="C33" s="3"/>
      <x:c r="D33" s="3"/>
      <x:c r="E33" s="3"/>
      <x:c r="F33" s="3"/>
      <x:c r="G33" s="3"/>
      <x:c r="H33" s="3"/>
      <x:c r="I33" s="3"/>
    </x:row>
    <x:row r="34">
      <x:c r="A34" s="3"/>
      <x:c r="B34" s="3"/>
      <x:c r="C34" s="3"/>
      <x:c r="D34" s="3"/>
      <x:c r="E34" s="3"/>
      <x:c r="F34" s="3"/>
      <x:c r="G34" s="3"/>
      <x:c r="H34" s="3"/>
      <x:c r="I34" s="3"/>
    </x:row>
    <x:row r="35">
      <x:c r="A35" s="3"/>
      <x:c r="B35" s="3"/>
      <x:c r="C35" s="3"/>
      <x:c r="D35" s="3"/>
      <x:c r="E35" s="3"/>
      <x:c r="F35" s="3"/>
      <x:c r="G35" s="3"/>
      <x:c r="H35" s="3"/>
      <x:c r="I35" s="3"/>
    </x:row>
    <x:row r="36">
      <x:c r="A36" s="3"/>
      <x:c r="B36" s="3"/>
      <x:c r="C36" s="3"/>
      <x:c r="D36" s="3"/>
      <x:c r="E36" s="3"/>
      <x:c r="F36" s="3"/>
      <x:c r="G36" s="3"/>
      <x:c r="H36" s="3"/>
      <x:c r="I36" s="3"/>
    </x:row>
    <x:row r="37">
      <x:c r="A37" s="3"/>
      <x:c r="B37" s="3"/>
      <x:c r="C37" s="3"/>
      <x:c r="D37" s="3"/>
      <x:c r="E37" s="3"/>
      <x:c r="F37" s="3"/>
      <x:c r="G37" s="3"/>
      <x:c r="H37" s="3"/>
      <x:c r="I37" s="3"/>
    </x:row>
    <x:row r="38">
      <x:c r="A38" s="3"/>
      <x:c r="B38" s="3"/>
      <x:c r="C38" s="3"/>
      <x:c r="D38" s="3"/>
      <x:c r="E38" s="3"/>
      <x:c r="F38" s="3"/>
      <x:c r="G38" s="3"/>
      <x:c r="H38" s="3"/>
      <x:c r="I38" s="3"/>
    </x:row>
    <x:row r="39">
      <x:c r="A39" s="3"/>
      <x:c r="B39" s="3"/>
      <x:c r="C39" s="3"/>
      <x:c r="D39" s="3"/>
      <x:c r="E39" s="3"/>
      <x:c r="F39" s="3"/>
      <x:c r="G39" s="3"/>
      <x:c r="H39" s="3"/>
      <x:c r="I39" s="3"/>
    </x:row>
    <x:row r="40">
      <x:c r="A40" s="3"/>
      <x:c r="B40" s="3"/>
      <x:c r="C40" s="3"/>
      <x:c r="D40" s="3"/>
      <x:c r="E40" s="3"/>
      <x:c r="F40" s="3"/>
      <x:c r="G40" s="3"/>
      <x:c r="H40" s="3"/>
      <x:c r="I40" s="3"/>
    </x:row>
    <x:row r="41">
      <x:c r="A41" s="3"/>
      <x:c r="B41" s="3"/>
      <x:c r="C41" s="3"/>
      <x:c r="D41" s="3"/>
      <x:c r="E41" s="3"/>
      <x:c r="F41" s="3"/>
      <x:c r="G41" s="3"/>
      <x:c r="H41" s="3"/>
      <x:c r="I41" s="3"/>
    </x:row>
    <x:row r="42">
      <x:c r="A42" s="3"/>
      <x:c r="B42" s="3"/>
      <x:c r="C42" s="3"/>
      <x:c r="D42" s="3"/>
      <x:c r="E42" s="3"/>
      <x:c r="F42" s="3"/>
      <x:c r="G42" s="3"/>
      <x:c r="H42" s="3"/>
      <x:c r="I42" s="3"/>
    </x:row>
    <x:row r="43">
      <x:c r="A43" s="3"/>
      <x:c r="B43" s="3"/>
      <x:c r="C43" s="3"/>
      <x:c r="D43" s="3"/>
      <x:c r="E43" s="3"/>
      <x:c r="F43" s="3"/>
      <x:c r="G43" s="3"/>
      <x:c r="H43" s="3"/>
      <x:c r="I43" s="3"/>
    </x:row>
    <x:row r="44">
      <x:c r="A44" s="3"/>
      <x:c r="B44" s="3"/>
      <x:c r="C44" s="3"/>
      <x:c r="D44" s="3"/>
      <x:c r="E44" s="3"/>
      <x:c r="F44" s="3"/>
      <x:c r="G44" s="3"/>
      <x:c r="H44" s="3"/>
      <x:c r="I44" s="3"/>
    </x:row>
    <x:row r="45">
      <x:c r="A45" s="3"/>
      <x:c r="B45" s="3"/>
      <x:c r="C45" s="3"/>
      <x:c r="D45" s="3"/>
      <x:c r="E45" s="3"/>
      <x:c r="F45" s="3"/>
      <x:c r="G45" s="3"/>
      <x:c r="H45" s="3"/>
      <x:c r="I45" s="3"/>
    </x:row>
    <x:row r="46">
      <x:c r="A46" s="3"/>
      <x:c r="B46" s="3"/>
      <x:c r="C46" s="3"/>
      <x:c r="D46" s="3"/>
      <x:c r="E46" s="3"/>
      <x:c r="F46" s="3"/>
      <x:c r="G46" s="3"/>
      <x:c r="H46" s="3"/>
      <x:c r="I46" s="3"/>
    </x:row>
    <x:row r="47">
      <x:c r="A47" s="3"/>
      <x:c r="B47" s="3"/>
      <x:c r="C47" s="3"/>
      <x:c r="D47" s="3"/>
      <x:c r="E47" s="3"/>
      <x:c r="F47" s="3"/>
      <x:c r="G47" s="3"/>
      <x:c r="H47" s="3"/>
      <x:c r="I47" s="3"/>
    </x:row>
    <x:row r="48">
      <x:c r="A48" s="3"/>
      <x:c r="B48" s="3"/>
      <x:c r="C48" s="3"/>
      <x:c r="D48" s="3"/>
      <x:c r="E48" s="3"/>
      <x:c r="F48" s="3"/>
      <x:c r="G48" s="3"/>
      <x:c r="H48" s="3"/>
      <x:c r="I48" s="3"/>
    </x:row>
    <x:row r="49">
      <x:c r="A49" s="3"/>
      <x:c r="B49" s="3"/>
      <x:c r="C49" s="3"/>
      <x:c r="D49" s="3"/>
      <x:c r="E49" s="3"/>
      <x:c r="F49" s="3"/>
      <x:c r="G49" s="3"/>
      <x:c r="H49" s="3"/>
      <x:c r="I49" s="3"/>
    </x:row>
    <x:row r="50">
      <x:c r="A50" s="3"/>
      <x:c r="B50" s="3"/>
      <x:c r="C50" s="3"/>
      <x:c r="D50" s="3"/>
      <x:c r="E50" s="3"/>
      <x:c r="F50" s="3"/>
      <x:c r="G50" s="3"/>
      <x:c r="H50" s="3"/>
      <x:c r="I50" s="3"/>
    </x:row>
    <x:row r="51">
      <x:c r="A51" s="3"/>
      <x:c r="B51" s="3"/>
      <x:c r="C51" s="3"/>
      <x:c r="D51" s="3"/>
      <x:c r="E51" s="3"/>
      <x:c r="F51" s="3"/>
      <x:c r="G51" s="3"/>
      <x:c r="H51" s="3"/>
      <x:c r="I51" s="3"/>
    </x:row>
    <x:row r="52">
      <x:c r="A52" s="3"/>
      <x:c r="B52" s="3"/>
      <x:c r="C52" s="3"/>
      <x:c r="D52" s="3"/>
      <x:c r="E52" s="3"/>
      <x:c r="F52" s="3"/>
      <x:c r="G52" s="3"/>
      <x:c r="H52" s="3"/>
      <x:c r="I52" s="3"/>
    </x:row>
    <x:row r="53">
      <x:c r="A53" s="3"/>
      <x:c r="B53" s="3"/>
      <x:c r="C53" s="3"/>
      <x:c r="D53" s="3"/>
      <x:c r="E53" s="3"/>
      <x:c r="F53" s="3"/>
      <x:c r="G53" s="3"/>
      <x:c r="H53" s="3"/>
      <x:c r="I53" s="3"/>
    </x:row>
    <x:row r="54">
      <x:c r="A54" s="3"/>
      <x:c r="B54" s="3"/>
      <x:c r="C54" s="3"/>
      <x:c r="D54" s="3"/>
      <x:c r="E54" s="3"/>
      <x:c r="F54" s="3"/>
      <x:c r="G54" s="3"/>
      <x:c r="H54" s="3"/>
      <x:c r="I54" s="3"/>
    </x:row>
    <x:row r="55">
      <x:c r="A55" s="3"/>
      <x:c r="B55" s="3"/>
      <x:c r="C55" s="3"/>
      <x:c r="D55" s="3"/>
      <x:c r="E55" s="3"/>
      <x:c r="F55" s="3"/>
      <x:c r="G55" s="3"/>
      <x:c r="H55" s="3"/>
      <x:c r="I55" s="3"/>
    </x:row>
  </x:sheetData>
  <x:mergeCells>
    <x:mergeCell ref="A1:F1"/>
    <x:mergeCell ref="B3:F3"/>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s>
  <x:pageMargins left="0.7" right="0.7" top="0.75" bottom="0.75" header="0.3" footer="0.3"/>
</x:worksheet>
</file>

<file path=xl/worksheets/sheet4.xml><?xml version="1.0" encoding="utf-8"?>
<x:worksheet xmlns:x="http://schemas.openxmlformats.org/spreadsheetml/2006/main">
  <x:sheetPr>
    <x:tabColor rgb="FF087E8B"/>
  </x:sheetPr>
  <x:sheetViews>
    <x:sheetView showGridLines="0" workbookViewId="0">
      <x:pane ySplit="2" topLeftCell="A3" activePane="bottomLeft" state="frozen"/>
    </x:sheetView>
  </x:sheetViews>
  <x:sheetFormatPr defaultRowHeight="15"/>
  <x:cols>
    <x:col min="1" max="1" width="26" hidden="0" customWidth="1"/>
    <x:col min="2" max="2" width="17" hidden="0" customWidth="1"/>
    <x:col min="3" max="3" width="17" hidden="0" customWidth="1"/>
    <x:col min="4" max="4" width="17" hidden="0" customWidth="1"/>
    <x:col min="5" max="5" width="17" hidden="0" customWidth="1"/>
    <x:col min="6" max="6" width="17" hidden="0" customWidth="1"/>
  </x:cols>
  <x:sheetData>
    <x:row r="1" ht="29" customHeight="1">
      <x:c r="A1" s="23" t="str">
        <x:v>MGS4701 A1 pilot dataset</x:v>
      </x:c>
      <x:c r="B1" s="23"/>
      <x:c r="C1" s="23"/>
      <x:c r="D1" s="23"/>
      <x:c r="E1" s="23"/>
      <x:c r="F1" s="23"/>
      <x:c r="G1" s="3"/>
      <x:c r="H1" s="3"/>
      <x:c r="I1" s="3"/>
    </x:row>
    <x:row r="2">
      <x:c r="A2" s="3"/>
      <x:c r="B2" s="3"/>
      <x:c r="C2" s="3"/>
      <x:c r="D2" s="3"/>
      <x:c r="E2" s="3"/>
      <x:c r="F2" s="3"/>
      <x:c r="G2" s="3"/>
      <x:c r="H2" s="3"/>
      <x:c r="I2" s="3"/>
    </x:row>
    <x:row r="3" ht="38" customHeight="1">
      <x:c r="A3" s="25" t="str">
        <x:v>Project description</x:v>
      </x:c>
      <x:c r="B3" s="17" t="str">
        <x:v>Business Analytics Job Market in China: Skills, Salary Levels, and AI-related Requirements in 2026</x:v>
      </x:c>
      <x:c r="C3" s="17"/>
      <x:c r="D3" s="17"/>
      <x:c r="E3" s="17"/>
      <x:c r="F3" s="17"/>
      <x:c r="G3" s="3"/>
      <x:c r="H3" s="3"/>
      <x:c r="I3" s="3"/>
    </x:row>
    <x:row r="4" ht="49" customHeight="1">
      <x:c r="A4" s="26" t="str">
        <x:v>Research question</x:v>
      </x:c>
      <x:c r="B4" s="12" t="str">
        <x:v>What skills, salary levels, and AI-related requirements are present in Business Analytics job postings in China in 2026?</x:v>
      </x:c>
      <x:c r="C4" s="12"/>
      <x:c r="D4" s="12"/>
      <x:c r="E4" s="12"/>
      <x:c r="F4" s="12"/>
      <x:c r="G4" s="3"/>
      <x:c r="H4" s="3"/>
      <x:c r="I4" s="3"/>
    </x:row>
    <x:row r="5" ht="49" customHeight="1">
      <x:c r="A5" s="25" t="str">
        <x:v>Data source</x:v>
      </x:c>
      <x:c r="B5" s="17" t="str">
        <x:v>BOSS直聘 public indexed posting-card excerpts; 100 selected records, 28 listing pages, 90 displayed company names.</x:v>
      </x:c>
      <x:c r="C5" s="17"/>
      <x:c r="D5" s="17"/>
      <x:c r="E5" s="17"/>
      <x:c r="F5" s="17"/>
      <x:c r="G5" s="3"/>
      <x:c r="H5" s="3"/>
      <x:c r="I5" s="3"/>
    </x:row>
    <x:row r="6" ht="49" customHeight="1">
      <x:c r="A6" s="26" t="str">
        <x:v>Collection period</x:v>
      </x:c>
      <x:c r="B6" s="12" t="str">
        <x:v>2026-09-28. This is the inspection date, not the original publication date. Indexed snapshots can predate it; current active hiring status is unverified.</x:v>
      </x:c>
      <x:c r="C6" s="12"/>
      <x:c r="D6" s="12"/>
      <x:c r="E6" s="12"/>
      <x:c r="F6" s="12"/>
      <x:c r="G6" s="3"/>
      <x:c r="H6" s="3"/>
      <x:c r="I6" s="3"/>
    </x:row>
    <x:row r="7" ht="49" customHeight="1">
      <x:c r="A7" s="25" t="str">
        <x:v>Evidence limitation</x:v>
      </x:c>
      <x:c r="B7" s="17" t="str">
        <x:v>Job_Description contains a short paraphrase of the visible excerpt. AI=0 means no mention observed in that excerpt, not verified absence from the complete JD. Independent team review is pending.</x:v>
      </x:c>
      <x:c r="C7" s="17"/>
      <x:c r="D7" s="17"/>
      <x:c r="E7" s="17"/>
      <x:c r="F7" s="17"/>
      <x:c r="G7" s="3"/>
      <x:c r="H7" s="3"/>
      <x:c r="I7" s="3"/>
    </x:row>
    <x:row r="8" ht="49" customHeight="1">
      <x:c r="A8" s="26" t="str">
        <x:v>Sample design</x:v>
      </x:c>
      <x:c r="B8" s="12" t="str">
        <x:v>Purposive convenience sample: 40 data analyst, 20 business analyst, 20 BI and 20 operating-performance roles. Five cities and eight industries. Not representative of nationwide vacancy shares.</x:v>
      </x:c>
      <x:c r="C8" s="12"/>
      <x:c r="D8" s="12"/>
      <x:c r="E8" s="12"/>
      <x:c r="F8" s="12"/>
      <x:c r="G8" s="3"/>
      <x:c r="H8" s="3"/>
      <x:c r="I8" s="3"/>
    </x:row>
    <x:row r="9" ht="49" customHeight="1">
      <x:c r="A9" s="25" t="str">
        <x:v>Salary interpretation</x:v>
      </x:c>
      <x:c r="B9" s="17" t="str">
        <x:v>K = RMB 1,000 per month. Preserve any stated number of salary payments. Advertised ranges are not realized earnings; do not infer annual pay if payment months are unstated.</x:v>
      </x:c>
      <x:c r="C9" s="17"/>
      <x:c r="D9" s="17"/>
      <x:c r="E9" s="17"/>
      <x:c r="F9" s="17"/>
      <x:c r="G9" s="3"/>
      <x:c r="H9" s="3"/>
      <x:c r="I9" s="3"/>
    </x:row>
    <x:row r="10" ht="66" customHeight="1">
      <x:c r="A10" s="26" t="str">
        <x:v>How to reproduce</x:v>
      </x:c>
      <x:c r="B10" s="12" t="str">
        <x:v>Read Collection_Protocol and Coding_Rules. The repository includes the selected CSV/JSON snapshot, record-level coding sheet, source manifest and a validation script/notebook. Recollection may differ as source pages change.</x:v>
      </x:c>
      <x:c r="C10" s="12"/>
      <x:c r="D10" s="12"/>
      <x:c r="E10" s="12"/>
      <x:c r="F10" s="12"/>
      <x:c r="G10" s="3"/>
      <x:c r="H10" s="3"/>
      <x:c r="I10" s="3"/>
    </x:row>
    <x:row r="11" ht="49" customHeight="1">
      <x:c r="A11" s="25" t="str">
        <x:v>A1 status</x:v>
      </x:c>
      <x:c r="B11" s="17" t="str">
        <x:v>Pilot data, coding sheet, written protocol, README, AI log and project brief are prepared. The team must insert its actual GitHub repository URL, upload all materials and review the source/coding evidence.</x:v>
      </x:c>
      <x:c r="C11" s="17"/>
      <x:c r="D11" s="17"/>
      <x:c r="E11" s="17"/>
      <x:c r="F11" s="17"/>
      <x:c r="G11" s="3"/>
      <x:c r="H11" s="3"/>
      <x:c r="I11" s="3"/>
    </x:row>
    <x:row r="12">
      <x:c r="A12" s="3"/>
      <x:c r="B12" s="3"/>
      <x:c r="C12" s="3"/>
      <x:c r="D12" s="3"/>
      <x:c r="E12" s="3"/>
      <x:c r="F12" s="3"/>
      <x:c r="G12" s="3"/>
      <x:c r="H12" s="3"/>
      <x:c r="I12" s="3"/>
    </x:row>
    <x:row r="13">
      <x:c r="A13" s="3"/>
      <x:c r="B13" s="3"/>
      <x:c r="C13" s="3"/>
      <x:c r="D13" s="3"/>
      <x:c r="E13" s="3"/>
      <x:c r="F13" s="3"/>
      <x:c r="G13" s="3"/>
      <x:c r="H13" s="3"/>
      <x:c r="I13" s="3"/>
    </x:row>
    <x:row r="14" ht="29" customHeight="1">
      <x:c r="A14" s="23" t="str">
        <x:v>Validation of the saved pilot</x:v>
      </x:c>
      <x:c r="B14" s="23"/>
      <x:c r="C14" s="23"/>
      <x:c r="D14" s="23"/>
      <x:c r="E14" s="23"/>
      <x:c r="F14" s="23"/>
      <x:c r="G14" s="3"/>
      <x:c r="H14" s="3"/>
      <x:c r="I14" s="3"/>
    </x:row>
    <x:row r="15">
      <x:c r="A15" s="3"/>
      <x:c r="B15" s="3"/>
      <x:c r="C15" s="3"/>
      <x:c r="D15" s="3"/>
      <x:c r="E15" s="3"/>
      <x:c r="F15" s="3"/>
      <x:c r="G15" s="3"/>
      <x:c r="H15" s="3"/>
      <x:c r="I15" s="3"/>
    </x:row>
    <x:row r="16" ht="33" customHeight="1">
      <x:c r="A16" s="3" t="str">
        <x:v>Records</x:v>
      </x:c>
      <x:c r="B16" s="3"/>
      <x:c r="C16" s="27" t="n">
        <x:f>COUNTA(BA_job_postings!A2:A101)</x:f>
        <x:v>100</x:v>
      </x:c>
      <x:c r="D16" s="3" t="str">
        <x:v>Expected: 100</x:v>
      </x:c>
      <x:c r="E16" s="3"/>
      <x:c r="F16" s="3"/>
      <x:c r="G16" s="3"/>
      <x:c r="H16" s="3"/>
      <x:c r="I16" s="3"/>
    </x:row>
    <x:row r="17" ht="33" customHeight="1">
      <x:c r="A17" s="3" t="str">
        <x:v>Blank required cells</x:v>
      </x:c>
      <x:c r="B17" s="3"/>
      <x:c r="C17" s="27" t="n">
        <x:f>COUNTBLANK(BA_job_postings!A2:O101)</x:f>
        <x:v>0</x:v>
      </x:c>
      <x:c r="D17" s="3" t="str">
        <x:v>Expected: 0</x:v>
      </x:c>
      <x:c r="E17" s="3"/>
      <x:c r="F17" s="3"/>
      <x:c r="G17" s="3"/>
      <x:c r="H17" s="3"/>
      <x:c r="I17" s="3"/>
    </x:row>
    <x:row r="18" ht="33" customHeight="1">
      <x:c r="A18" s="3" t="str">
        <x:v>AI-positive excerpts</x:v>
      </x:c>
      <x:c r="B18" s="3"/>
      <x:c r="C18" s="27" t="n">
        <x:f>COUNTIF(BA_job_postings!K2:K101,1)</x:f>
        <x:v>10</x:v>
      </x:c>
      <x:c r="D18" s="3" t="str">
        <x:v>Observed excerpt mentions only</x:v>
      </x:c>
      <x:c r="E18" s="3"/>
      <x:c r="F18" s="3"/>
      <x:c r="G18" s="3"/>
      <x:c r="H18" s="3"/>
      <x:c r="I18" s="3"/>
    </x:row>
    <x:row r="19" ht="33" customHeight="1">
      <x:c r="A19" s="3" t="str">
        <x:v>AI-negative excerpts</x:v>
      </x:c>
      <x:c r="B19" s="3"/>
      <x:c r="C19" s="27" t="n">
        <x:f>COUNTIF(BA_job_postings!K2:K101,0)</x:f>
        <x:v>90</x:v>
      </x:c>
      <x:c r="D19" s="3" t="str">
        <x:v>No mention observed in excerpt</x:v>
      </x:c>
      <x:c r="E19" s="3"/>
      <x:c r="F19" s="3"/>
      <x:c r="G19" s="3"/>
      <x:c r="H19" s="3"/>
      <x:c r="I19" s="3"/>
    </x:row>
    <x:row r="20" ht="33" customHeight="1">
      <x:c r="A20" s="3" t="str">
        <x:v>Correct collection dates</x:v>
      </x:c>
      <x:c r="B20" s="3"/>
      <x:c r="C20" s="27" t="n">
        <x:f>COUNTIF(BA_job_postings!N2:N101,DATE(2026,9,28))</x:f>
        <x:v>100</x:v>
      </x:c>
      <x:c r="D20" s="3" t="str">
        <x:v>Expected: 100</x:v>
      </x:c>
      <x:c r="E20" s="3"/>
      <x:c r="F20" s="3"/>
      <x:c r="G20" s="3"/>
      <x:c r="H20" s="3"/>
      <x:c r="I20" s="3"/>
    </x:row>
    <x:row r="21" ht="33" customHeight="1">
      <x:c r="A21" s="3" t="str">
        <x:v>Rows labelled BOSS直聘</x:v>
      </x:c>
      <x:c r="B21" s="3"/>
      <x:c r="C21" s="27" t="n">
        <x:f>COUNTIF(BA_job_postings!M2:M101,"BOSS直聘")</x:f>
        <x:v>100</x:v>
      </x:c>
      <x:c r="D21" s="3" t="str">
        <x:v>Expected: 100</x:v>
      </x:c>
      <x:c r="E21" s="3"/>
      <x:c r="F21" s="3"/>
      <x:c r="G21" s="3"/>
      <x:c r="H21" s="3"/>
      <x:c r="I21" s="3"/>
    </x:row>
    <x:row r="22">
      <x:c r="A22" s="3"/>
      <x:c r="B22" s="3"/>
      <x:c r="C22" s="3"/>
      <x:c r="D22" s="3"/>
      <x:c r="E22" s="3"/>
      <x:c r="F22" s="3"/>
      <x:c r="G22" s="3"/>
      <x:c r="H22" s="3"/>
      <x:c r="I22" s="3"/>
    </x:row>
    <x:row r="23" ht="66" customHeight="1">
      <x:c r="A23" s="25" t="str">
        <x:v>Other checks</x:v>
      </x:c>
      <x:c r="B23" s="17" t="str">
        <x:v>PASS: sequential IDs 001–100, 15 required fields, zero duplicate company-title-city keys, five cities, eight industries, role targets, and AI flag-term-summary consistency. See validation_summary.json for the full recorded checks.</x:v>
      </x:c>
      <x:c r="C23" s="17"/>
      <x:c r="D23" s="17"/>
      <x:c r="E23" s="17"/>
      <x:c r="F23" s="17"/>
      <x:c r="G23" s="3"/>
      <x:c r="H23" s="3"/>
      <x:c r="I23" s="3"/>
    </x:row>
    <x:row r="24">
      <x:c r="A24" s="3"/>
      <x:c r="B24" s="3"/>
      <x:c r="C24" s="3"/>
      <x:c r="D24" s="3"/>
      <x:c r="E24" s="3"/>
      <x:c r="F24" s="3"/>
      <x:c r="G24" s="3"/>
      <x:c r="H24" s="3"/>
      <x:c r="I24" s="3"/>
    </x:row>
    <x:row r="25">
      <x:c r="A25" s="3"/>
      <x:c r="B25" s="3"/>
      <x:c r="C25" s="3"/>
      <x:c r="D25" s="3"/>
      <x:c r="E25" s="3"/>
      <x:c r="F25" s="3"/>
      <x:c r="G25" s="3"/>
      <x:c r="H25" s="3"/>
      <x:c r="I25" s="3"/>
    </x:row>
    <x:row r="26" ht="29" customHeight="1">
      <x:c r="A26" s="23" t="str">
        <x:v>Variable definitions</x:v>
      </x:c>
      <x:c r="B26" s="23"/>
      <x:c r="C26" s="23"/>
      <x:c r="D26" s="23"/>
      <x:c r="E26" s="23"/>
      <x:c r="F26" s="23"/>
      <x:c r="G26" s="3"/>
      <x:c r="H26" s="3"/>
      <x:c r="I26" s="3"/>
    </x:row>
    <x:row r="27">
      <x:c r="A27" s="3"/>
      <x:c r="B27" s="3"/>
      <x:c r="C27" s="3"/>
      <x:c r="D27" s="3"/>
      <x:c r="E27" s="3"/>
      <x:c r="F27" s="3"/>
      <x:c r="G27" s="3"/>
      <x:c r="H27" s="3"/>
      <x:c r="I27" s="3"/>
    </x:row>
    <x:row r="28" ht="62" customHeight="1">
      <x:c r="A28" s="25" t="str">
        <x:v>Job_ID</x:v>
      </x:c>
      <x:c r="B28" s="17" t="str">
        <x:v>Text</x:v>
      </x:c>
      <x:c r="C28" s="17" t="str">
        <x:v>Sequential record identifier, 001–100. Import as text to preserve leading zeros.</x:v>
      </x:c>
      <x:c r="D28" s="17"/>
      <x:c r="E28" s="17"/>
      <x:c r="F28" s="17"/>
      <x:c r="G28" s="3"/>
      <x:c r="H28" s="3"/>
      <x:c r="I28" s="3"/>
    </x:row>
    <x:row r="29" ht="62" customHeight="1">
      <x:c r="A29" s="26" t="str">
        <x:v>Job_Title</x:v>
      </x:c>
      <x:c r="B29" s="12" t="str">
        <x:v>Text</x:v>
      </x:c>
      <x:c r="C29" s="12" t="str">
        <x:v>Original displayed title; families are assigned separately in Coding_Rules.</x:v>
      </x:c>
      <x:c r="D29" s="12"/>
      <x:c r="E29" s="12"/>
      <x:c r="F29" s="12"/>
      <x:c r="G29" s="3"/>
      <x:c r="H29" s="3"/>
      <x:c r="I29" s="3"/>
    </x:row>
    <x:row r="30" ht="62" customHeight="1">
      <x:c r="A30" s="25" t="str">
        <x:v>Company</x:v>
      </x:c>
      <x:c r="B30" s="17" t="str">
        <x:v>Text</x:v>
      </x:c>
      <x:c r="C30" s="17" t="str">
        <x:v>Displayed recruiting company or brand name; not the platform name or necessarily the legal entity.</x:v>
      </x:c>
      <x:c r="D30" s="17"/>
      <x:c r="E30" s="17"/>
      <x:c r="F30" s="17"/>
      <x:c r="G30" s="3"/>
      <x:c r="H30" s="3"/>
      <x:c r="I30" s="3"/>
    </x:row>
    <x:row r="31" ht="62" customHeight="1">
      <x:c r="A31" s="26" t="str">
        <x:v>Industry</x:v>
      </x:c>
      <x:c r="B31" s="12" t="str">
        <x:v>Category</x:v>
      </x:c>
      <x:c r="C31" s="12" t="str">
        <x:v>Eight standardized sectors. Original labels and judgment-based mappings are retained in the coding sheet.</x:v>
      </x:c>
      <x:c r="D31" s="12"/>
      <x:c r="E31" s="12"/>
      <x:c r="F31" s="12"/>
      <x:c r="G31" s="3"/>
      <x:c r="H31" s="3"/>
      <x:c r="I31" s="3"/>
    </x:row>
    <x:row r="32" ht="62" customHeight="1">
      <x:c r="A32" s="25" t="str">
        <x:v>City</x:v>
      </x:c>
      <x:c r="B32" s="17" t="str">
        <x:v>Category</x:v>
      </x:c>
      <x:c r="C32" s="17" t="str">
        <x:v>Displayed work location: 北京、上海、杭州、深圳、广州. Ignore district names.</x:v>
      </x:c>
      <x:c r="D32" s="17"/>
      <x:c r="E32" s="17"/>
      <x:c r="F32" s="17"/>
      <x:c r="G32" s="3"/>
      <x:c r="H32" s="3"/>
      <x:c r="I32" s="3"/>
    </x:row>
    <x:row r="33" ht="62" customHeight="1">
      <x:c r="A33" s="26" t="str">
        <x:v>Salary</x:v>
      </x:c>
      <x:c r="B33" s="12" t="str">
        <x:v>Text</x:v>
      </x:c>
      <x:c r="C33" s="12" t="str">
        <x:v>Advertised monthly RMB range in K (1 K = RMB 1,000); preserve any stated number of salary payments.</x:v>
      </x:c>
      <x:c r="D33" s="12"/>
      <x:c r="E33" s="12"/>
      <x:c r="F33" s="12"/>
      <x:c r="G33" s="3"/>
      <x:c r="H33" s="3"/>
      <x:c r="I33" s="3"/>
    </x:row>
    <x:row r="34" ht="62" customHeight="1">
      <x:c r="A34" s="25" t="str">
        <x:v>Experience</x:v>
      </x:c>
      <x:c r="B34" s="17" t="str">
        <x:v>Category</x:v>
      </x:c>
      <x:c r="C34" s="17" t="str">
        <x:v>Experience requirement as displayed, including 经验不限.</x:v>
      </x:c>
      <x:c r="D34" s="17"/>
      <x:c r="E34" s="17"/>
      <x:c r="F34" s="17"/>
      <x:c r="G34" s="3"/>
      <x:c r="H34" s="3"/>
      <x:c r="I34" s="3"/>
    </x:row>
    <x:row r="35" ht="62" customHeight="1">
      <x:c r="A35" s="26" t="str">
        <x:v>Education</x:v>
      </x:c>
      <x:c r="B35" s="12" t="str">
        <x:v>Category</x:v>
      </x:c>
      <x:c r="C35" s="12" t="str">
        <x:v>Education requirement as displayed.</x:v>
      </x:c>
      <x:c r="D35" s="12"/>
      <x:c r="E35" s="12"/>
      <x:c r="F35" s="12"/>
      <x:c r="G35" s="3"/>
      <x:c r="H35" s="3"/>
      <x:c r="I35" s="3"/>
    </x:row>
    <x:row r="36" ht="62" customHeight="1">
      <x:c r="A36" s="25" t="str">
        <x:v>Skills</x:v>
      </x:c>
      <x:c r="B36" s="17" t="str">
        <x:v>Text list</x:v>
      </x:c>
      <x:c r="C36" s="17" t="str">
        <x:v>Semicolon-separated tools and competencies explicitly supported by the observed excerpt; not an exhaustive skill inventory.</x:v>
      </x:c>
      <x:c r="D36" s="17"/>
      <x:c r="E36" s="17"/>
      <x:c r="F36" s="17"/>
      <x:c r="G36" s="3"/>
      <x:c r="H36" s="3"/>
      <x:c r="I36" s="3"/>
    </x:row>
    <x:row r="37" ht="62" customHeight="1">
      <x:c r="A37" s="26" t="str">
        <x:v>Job_Description</x:v>
      </x:c>
      <x:c r="B37" s="12" t="str">
        <x:v>Text</x:v>
      </x:c>
      <x:c r="C37" s="12" t="str">
        <x:v>Short Chinese paraphrase of the publicly visible JD excerpt, prefixed 公开JD摘要. Not the complete JD.</x:v>
      </x:c>
      <x:c r="D37" s="12"/>
      <x:c r="E37" s="12"/>
      <x:c r="F37" s="12"/>
      <x:c r="G37" s="3"/>
      <x:c r="H37" s="3"/>
      <x:c r="I37" s="3"/>
    </x:row>
    <x:row r="38" ht="62" customHeight="1">
      <x:c r="A38" s="25" t="str">
        <x:v>AI_Required</x:v>
      </x:c>
      <x:c r="B38" s="17" t="str">
        <x:v>Integer 0/1</x:v>
      </x:c>
      <x:c r="C38" s="17" t="str">
        <x:v>1 = an AI-related task, tool, method or requirement is observed in the JD excerpt; 0 = none observed in that excerpt.</x:v>
      </x:c>
      <x:c r="D38" s="17"/>
      <x:c r="E38" s="17"/>
      <x:c r="F38" s="17"/>
      <x:c r="G38" s="3"/>
      <x:c r="H38" s="3"/>
      <x:c r="I38" s="3"/>
    </x:row>
    <x:row r="39" ht="62" customHeight="1">
      <x:c r="A39" s="26" t="str">
        <x:v>AI_Terms</x:v>
      </x:c>
      <x:c r="B39" s="12" t="str">
        <x:v>Text list</x:v>
      </x:c>
      <x:c r="C39" s="12" t="str">
        <x:v>Observed AI keywords separated by semicolons; use 未见（公开摘要） when AI_Required=0.</x:v>
      </x:c>
      <x:c r="D39" s="12"/>
      <x:c r="E39" s="12"/>
      <x:c r="F39" s="12"/>
      <x:c r="G39" s="3"/>
      <x:c r="H39" s="3"/>
      <x:c r="I39" s="3"/>
    </x:row>
    <x:row r="40" ht="62" customHeight="1">
      <x:c r="A40" s="25" t="str">
        <x:v>Source</x:v>
      </x:c>
      <x:c r="B40" s="17" t="str">
        <x:v>Text</x:v>
      </x:c>
      <x:c r="C40" s="17" t="str">
        <x:v>BOSS直聘 for every record.</x:v>
      </x:c>
      <x:c r="D40" s="17"/>
      <x:c r="E40" s="17"/>
      <x:c r="F40" s="17"/>
      <x:c r="G40" s="3"/>
      <x:c r="H40" s="3"/>
      <x:c r="I40" s="3"/>
    </x:row>
    <x:row r="41" ht="62" customHeight="1">
      <x:c r="A41" s="26" t="str">
        <x:v>Collection_Date</x:v>
      </x:c>
      <x:c r="B41" s="12" t="str">
        <x:v>Date</x:v>
      </x:c>
      <x:c r="C41" s="12" t="str">
        <x:v>2026-09-28, the date of collection/inspection; not the original publication date.</x:v>
      </x:c>
      <x:c r="D41" s="12"/>
      <x:c r="E41" s="12"/>
      <x:c r="F41" s="12"/>
      <x:c r="G41" s="3"/>
      <x:c r="H41" s="3"/>
      <x:c r="I41" s="3"/>
    </x:row>
    <x:row r="42" ht="62" customHeight="1">
      <x:c r="A42" s="25" t="str">
        <x:v>URL</x:v>
      </x:c>
      <x:c r="B42" s="17" t="str">
        <x:v>Text</x:v>
      </x:c>
      <x:c r="C42" s="17" t="str">
        <x:v>Public BOSS listing page consulted. Not a unique job-detail permalink; pages may list several sampled jobs.</x:v>
      </x:c>
      <x:c r="D42" s="17"/>
      <x:c r="E42" s="17"/>
      <x:c r="F42" s="17"/>
      <x:c r="G42" s="3"/>
      <x:c r="H42" s="3"/>
      <x:c r="I42" s="3"/>
    </x:row>
    <x:row r="43">
      <x:c r="A43" s="3"/>
      <x:c r="B43" s="3"/>
      <x:c r="C43" s="3"/>
      <x:c r="D43" s="3"/>
      <x:c r="E43" s="3"/>
      <x:c r="F43" s="3"/>
      <x:c r="G43" s="3"/>
      <x:c r="H43" s="3"/>
      <x:c r="I43" s="3"/>
    </x:row>
    <x:row r="44">
      <x:c r="A44" s="3"/>
      <x:c r="B44" s="3"/>
      <x:c r="C44" s="3"/>
      <x:c r="D44" s="3"/>
      <x:c r="E44" s="3"/>
      <x:c r="F44" s="3"/>
      <x:c r="G44" s="3"/>
      <x:c r="H44" s="3"/>
      <x:c r="I44" s="3"/>
    </x:row>
    <x:row r="45" ht="29" customHeight="1">
      <x:c r="A45" s="23" t="str">
        <x:v>Coverage counts</x:v>
      </x:c>
      <x:c r="B45" s="23"/>
      <x:c r="C45" s="23"/>
      <x:c r="D45" s="23"/>
      <x:c r="E45" s="23"/>
      <x:c r="F45" s="23"/>
      <x:c r="G45" s="3"/>
      <x:c r="H45" s="3"/>
      <x:c r="I45" s="3"/>
    </x:row>
    <x:row r="46">
      <x:c r="A46" s="3"/>
      <x:c r="B46" s="3"/>
      <x:c r="C46" s="3"/>
      <x:c r="D46" s="3"/>
      <x:c r="E46" s="3"/>
      <x:c r="F46" s="3"/>
      <x:c r="G46" s="3"/>
      <x:c r="H46" s="3"/>
      <x:c r="I46" s="3"/>
    </x:row>
    <x:row r="47" ht="27" customHeight="1">
      <x:c r="A47" s="3" t="str">
        <x:v>Role</x:v>
      </x:c>
      <x:c r="B47" s="3" t="str">
        <x:v>数据分析师</x:v>
      </x:c>
      <x:c r="C47" s="3" t="n">
        <x:v>40</x:v>
      </x:c>
      <x:c r="D47" s="3"/>
      <x:c r="E47" s="3"/>
      <x:c r="F47" s="3"/>
      <x:c r="G47" s="3"/>
      <x:c r="H47" s="3"/>
      <x:c r="I47" s="3"/>
    </x:row>
    <x:row r="48" ht="27" customHeight="1">
      <x:c r="A48" s="3" t="str">
        <x:v>Role</x:v>
      </x:c>
      <x:c r="B48" s="3" t="str">
        <x:v>商业分析师</x:v>
      </x:c>
      <x:c r="C48" s="3" t="n">
        <x:v>20</x:v>
      </x:c>
      <x:c r="D48" s="3"/>
      <x:c r="E48" s="3"/>
      <x:c r="F48" s="3"/>
      <x:c r="G48" s="3"/>
      <x:c r="H48" s="3"/>
      <x:c r="I48" s="3"/>
    </x:row>
    <x:row r="49" ht="27" customHeight="1">
      <x:c r="A49" s="3" t="str">
        <x:v>Role</x:v>
      </x:c>
      <x:c r="B49" s="3" t="str">
        <x:v>BI分析师</x:v>
      </x:c>
      <x:c r="C49" s="3" t="n">
        <x:v>20</x:v>
      </x:c>
      <x:c r="D49" s="3"/>
      <x:c r="E49" s="3"/>
      <x:c r="F49" s="3"/>
      <x:c r="G49" s="3"/>
      <x:c r="H49" s="3"/>
      <x:c r="I49" s="3"/>
    </x:row>
    <x:row r="50" ht="27" customHeight="1">
      <x:c r="A50" s="3" t="str">
        <x:v>Role</x:v>
      </x:c>
      <x:c r="B50" s="3" t="str">
        <x:v>经营分析</x:v>
      </x:c>
      <x:c r="C50" s="3" t="n">
        <x:v>20</x:v>
      </x:c>
      <x:c r="D50" s="3"/>
      <x:c r="E50" s="3"/>
      <x:c r="F50" s="3"/>
      <x:c r="G50" s="3"/>
      <x:c r="H50" s="3"/>
      <x:c r="I50" s="3"/>
    </x:row>
    <x:row r="51" ht="27" customHeight="1">
      <x:c r="A51" s="3" t="str">
        <x:v>City</x:v>
      </x:c>
      <x:c r="B51" s="3" t="str">
        <x:v>北京</x:v>
      </x:c>
      <x:c r="C51" s="3" t="n">
        <x:v>23</x:v>
      </x:c>
      <x:c r="D51" s="3"/>
      <x:c r="E51" s="3"/>
      <x:c r="F51" s="3"/>
      <x:c r="G51" s="3"/>
      <x:c r="H51" s="3"/>
      <x:c r="I51" s="3"/>
    </x:row>
    <x:row r="52" ht="27" customHeight="1">
      <x:c r="A52" s="3" t="str">
        <x:v>City</x:v>
      </x:c>
      <x:c r="B52" s="3" t="str">
        <x:v>深圳</x:v>
      </x:c>
      <x:c r="C52" s="3" t="n">
        <x:v>21</x:v>
      </x:c>
      <x:c r="D52" s="3"/>
      <x:c r="E52" s="3"/>
      <x:c r="F52" s="3"/>
      <x:c r="G52" s="3"/>
      <x:c r="H52" s="3"/>
      <x:c r="I52" s="3"/>
    </x:row>
    <x:row r="53" ht="27" customHeight="1">
      <x:c r="A53" s="3" t="str">
        <x:v>City</x:v>
      </x:c>
      <x:c r="B53" s="3" t="str">
        <x:v>杭州</x:v>
      </x:c>
      <x:c r="C53" s="3" t="n">
        <x:v>19</x:v>
      </x:c>
      <x:c r="D53" s="3"/>
      <x:c r="E53" s="3"/>
      <x:c r="F53" s="3"/>
      <x:c r="G53" s="3"/>
      <x:c r="H53" s="3"/>
      <x:c r="I53" s="3"/>
    </x:row>
    <x:row r="54" ht="27" customHeight="1">
      <x:c r="A54" s="3" t="str">
        <x:v>City</x:v>
      </x:c>
      <x:c r="B54" s="3" t="str">
        <x:v>广州</x:v>
      </x:c>
      <x:c r="C54" s="3" t="n">
        <x:v>18</x:v>
      </x:c>
      <x:c r="D54" s="3"/>
      <x:c r="E54" s="3"/>
      <x:c r="F54" s="3"/>
      <x:c r="G54" s="3"/>
      <x:c r="H54" s="3"/>
      <x:c r="I54" s="3"/>
    </x:row>
    <x:row r="55" ht="27" customHeight="1">
      <x:c r="A55" s="3" t="str">
        <x:v>City</x:v>
      </x:c>
      <x:c r="B55" s="3" t="str">
        <x:v>上海</x:v>
      </x:c>
      <x:c r="C55" s="3" t="n">
        <x:v>19</x:v>
      </x:c>
      <x:c r="D55" s="3"/>
      <x:c r="E55" s="3"/>
      <x:c r="F55" s="3"/>
      <x:c r="G55" s="3"/>
      <x:c r="H55" s="3"/>
      <x:c r="I55" s="3"/>
    </x:row>
    <x:row r="56" ht="27" customHeight="1">
      <x:c r="A56" s="3" t="str">
        <x:v>Industry</x:v>
      </x:c>
      <x:c r="B56" s="3" t="str">
        <x:v>人工智能</x:v>
      </x:c>
      <x:c r="C56" s="3" t="n">
        <x:v>3</x:v>
      </x:c>
      <x:c r="D56" s="3"/>
      <x:c r="E56" s="3"/>
      <x:c r="F56" s="3"/>
      <x:c r="G56" s="3"/>
      <x:c r="H56" s="3"/>
      <x:c r="I56" s="3"/>
    </x:row>
    <x:row r="57" ht="27" customHeight="1">
      <x:c r="A57" s="3" t="str">
        <x:v>Industry</x:v>
      </x:c>
      <x:c r="B57" s="3" t="str">
        <x:v>制造业</x:v>
      </x:c>
      <x:c r="C57" s="3" t="n">
        <x:v>11</x:v>
      </x:c>
      <x:c r="D57" s="3"/>
      <x:c r="E57" s="3"/>
      <x:c r="F57" s="3"/>
      <x:c r="G57" s="3"/>
      <x:c r="H57" s="3"/>
      <x:c r="I57" s="3"/>
    </x:row>
    <x:row r="58" ht="27" customHeight="1">
      <x:c r="A58" s="3" t="str">
        <x:v>Industry</x:v>
      </x:c>
      <x:c r="B58" s="3" t="str">
        <x:v>互联网/科技</x:v>
      </x:c>
      <x:c r="C58" s="3" t="n">
        <x:v>44</x:v>
      </x:c>
      <x:c r="D58" s="3"/>
      <x:c r="E58" s="3"/>
      <x:c r="F58" s="3"/>
      <x:c r="G58" s="3"/>
      <x:c r="H58" s="3"/>
      <x:c r="I58" s="3"/>
    </x:row>
    <x:row r="59" ht="27" customHeight="1">
      <x:c r="A59" s="3" t="str">
        <x:v>Industry</x:v>
      </x:c>
      <x:c r="B59" s="3" t="str">
        <x:v>电子商务</x:v>
      </x:c>
      <x:c r="C59" s="3" t="n">
        <x:v>9</x:v>
      </x:c>
      <x:c r="D59" s="3"/>
      <x:c r="E59" s="3"/>
      <x:c r="F59" s="3"/>
      <x:c r="G59" s="3"/>
      <x:c r="H59" s="3"/>
      <x:c r="I59" s="3"/>
    </x:row>
    <x:row r="60" ht="27" customHeight="1">
      <x:c r="A60" s="3" t="str">
        <x:v>Industry</x:v>
      </x:c>
      <x:c r="B60" s="3" t="str">
        <x:v>物流</x:v>
      </x:c>
      <x:c r="C60" s="3" t="n">
        <x:v>6</x:v>
      </x:c>
      <x:c r="D60" s="3"/>
      <x:c r="E60" s="3"/>
      <x:c r="F60" s="3"/>
      <x:c r="G60" s="3"/>
      <x:c r="H60" s="3"/>
      <x:c r="I60" s="3"/>
    </x:row>
    <x:row r="61" ht="27" customHeight="1">
      <x:c r="A61" s="3" t="str">
        <x:v>Industry</x:v>
      </x:c>
      <x:c r="B61" s="3" t="str">
        <x:v>消费品</x:v>
      </x:c>
      <x:c r="C61" s="3" t="n">
        <x:v>14</x:v>
      </x:c>
      <x:c r="D61" s="3"/>
      <x:c r="E61" s="3"/>
      <x:c r="F61" s="3"/>
      <x:c r="G61" s="3"/>
      <x:c r="H61" s="3"/>
      <x:c r="I61" s="3"/>
    </x:row>
    <x:row r="62" ht="27" customHeight="1">
      <x:c r="A62" s="3" t="str">
        <x:v>Industry</x:v>
      </x:c>
      <x:c r="B62" s="3" t="str">
        <x:v>新能源</x:v>
      </x:c>
      <x:c r="C62" s="3" t="n">
        <x:v>5</x:v>
      </x:c>
      <x:c r="D62" s="3"/>
      <x:c r="E62" s="3"/>
      <x:c r="F62" s="3"/>
      <x:c r="G62" s="3"/>
      <x:c r="H62" s="3"/>
      <x:c r="I62" s="3"/>
    </x:row>
    <x:row r="63" ht="27" customHeight="1">
      <x:c r="A63" s="3" t="str">
        <x:v>Industry</x:v>
      </x:c>
      <x:c r="B63" s="3" t="str">
        <x:v>金融科技</x:v>
      </x:c>
      <x:c r="C63" s="3" t="n">
        <x:v>8</x:v>
      </x:c>
      <x:c r="D63" s="3"/>
      <x:c r="E63" s="3"/>
      <x:c r="F63" s="3"/>
      <x:c r="G63" s="3"/>
      <x:c r="H63" s="3"/>
      <x:c r="I63" s="3"/>
    </x:row>
    <x:row r="64">
      <x:c r="A64" s="3"/>
      <x:c r="B64" s="3"/>
      <x:c r="C64" s="3"/>
      <x:c r="D64" s="3"/>
      <x:c r="E64" s="3"/>
      <x:c r="F64" s="3"/>
      <x:c r="G64" s="3"/>
      <x:c r="H64" s="3"/>
      <x:c r="I64" s="3"/>
    </x:row>
    <x:row r="65">
      <x:c r="A65" s="3"/>
      <x:c r="B65" s="3"/>
      <x:c r="C65" s="3"/>
      <x:c r="D65" s="3"/>
      <x:c r="E65" s="3"/>
      <x:c r="F65" s="3"/>
      <x:c r="G65" s="3"/>
      <x:c r="H65" s="3"/>
      <x:c r="I65" s="3"/>
    </x:row>
    <x:row r="66">
      <x:c r="A66" s="3"/>
      <x:c r="B66" s="3"/>
      <x:c r="C66" s="3"/>
      <x:c r="D66" s="3"/>
      <x:c r="E66" s="3"/>
      <x:c r="F66" s="3"/>
      <x:c r="G66" s="3"/>
      <x:c r="H66" s="3"/>
      <x:c r="I66" s="3"/>
    </x:row>
    <x:row r="67">
      <x:c r="A67" s="3"/>
      <x:c r="B67" s="3"/>
      <x:c r="C67" s="3"/>
      <x:c r="D67" s="3"/>
      <x:c r="E67" s="3"/>
      <x:c r="F67" s="3"/>
      <x:c r="G67" s="3"/>
      <x:c r="H67" s="3"/>
      <x:c r="I67" s="3"/>
    </x:row>
    <x:row r="68">
      <x:c r="A68" s="3"/>
      <x:c r="B68" s="3"/>
      <x:c r="C68" s="3"/>
      <x:c r="D68" s="3"/>
      <x:c r="E68" s="3"/>
      <x:c r="F68" s="3"/>
      <x:c r="G68" s="3"/>
      <x:c r="H68" s="3"/>
      <x:c r="I68" s="3"/>
    </x:row>
    <x:row r="69">
      <x:c r="A69" s="3"/>
      <x:c r="B69" s="3"/>
      <x:c r="C69" s="3"/>
      <x:c r="D69" s="3"/>
      <x:c r="E69" s="3"/>
      <x:c r="F69" s="3"/>
      <x:c r="G69" s="3"/>
      <x:c r="H69" s="3"/>
      <x:c r="I69" s="3"/>
    </x:row>
    <x:row r="70">
      <x:c r="A70" s="3"/>
      <x:c r="B70" s="3"/>
      <x:c r="C70" s="3"/>
      <x:c r="D70" s="3"/>
      <x:c r="E70" s="3"/>
      <x:c r="F70" s="3"/>
      <x:c r="G70" s="3"/>
      <x:c r="H70" s="3"/>
      <x:c r="I70" s="3"/>
    </x:row>
    <x:row r="71">
      <x:c r="A71" s="3"/>
      <x:c r="B71" s="3"/>
      <x:c r="C71" s="3"/>
      <x:c r="D71" s="3"/>
      <x:c r="E71" s="3"/>
      <x:c r="F71" s="3"/>
      <x:c r="G71" s="3"/>
      <x:c r="H71" s="3"/>
      <x:c r="I71" s="3"/>
    </x:row>
    <x:row r="72">
      <x:c r="A72" s="3"/>
      <x:c r="B72" s="3"/>
      <x:c r="C72" s="3"/>
      <x:c r="D72" s="3"/>
      <x:c r="E72" s="3"/>
      <x:c r="F72" s="3"/>
      <x:c r="G72" s="3"/>
      <x:c r="H72" s="3"/>
      <x:c r="I72" s="3"/>
    </x:row>
    <x:row r="73">
      <x:c r="A73" s="3"/>
      <x:c r="B73" s="3"/>
      <x:c r="C73" s="3"/>
      <x:c r="D73" s="3"/>
      <x:c r="E73" s="3"/>
      <x:c r="F73" s="3"/>
      <x:c r="G73" s="3"/>
      <x:c r="H73" s="3"/>
      <x:c r="I73" s="3"/>
    </x:row>
    <x:row r="74">
      <x:c r="A74" s="3"/>
      <x:c r="B74" s="3"/>
      <x:c r="C74" s="3"/>
      <x:c r="D74" s="3"/>
      <x:c r="E74" s="3"/>
      <x:c r="F74" s="3"/>
      <x:c r="G74" s="3"/>
      <x:c r="H74" s="3"/>
      <x:c r="I74" s="3"/>
    </x:row>
    <x:row r="75">
      <x:c r="A75" s="3"/>
      <x:c r="B75" s="3"/>
      <x:c r="C75" s="3"/>
      <x:c r="D75" s="3"/>
      <x:c r="E75" s="3"/>
      <x:c r="F75" s="3"/>
      <x:c r="G75" s="3"/>
      <x:c r="H75" s="3"/>
      <x:c r="I75" s="3"/>
    </x:row>
    <x:row r="76">
      <x:c r="A76" s="3"/>
      <x:c r="B76" s="3"/>
      <x:c r="C76" s="3"/>
      <x:c r="D76" s="3"/>
      <x:c r="E76" s="3"/>
      <x:c r="F76" s="3"/>
      <x:c r="G76" s="3"/>
      <x:c r="H76" s="3"/>
      <x:c r="I76" s="3"/>
    </x:row>
    <x:row r="77">
      <x:c r="A77" s="3"/>
      <x:c r="B77" s="3"/>
      <x:c r="C77" s="3"/>
      <x:c r="D77" s="3"/>
      <x:c r="E77" s="3"/>
      <x:c r="F77" s="3"/>
      <x:c r="G77" s="3"/>
      <x:c r="H77" s="3"/>
      <x:c r="I77" s="3"/>
    </x:row>
    <x:row r="78">
      <x:c r="A78" s="3"/>
      <x:c r="B78" s="3"/>
      <x:c r="C78" s="3"/>
      <x:c r="D78" s="3"/>
      <x:c r="E78" s="3"/>
      <x:c r="F78" s="3"/>
      <x:c r="G78" s="3"/>
      <x:c r="H78" s="3"/>
      <x:c r="I78" s="3"/>
    </x:row>
    <x:row r="79">
      <x:c r="A79" s="3"/>
      <x:c r="B79" s="3"/>
      <x:c r="C79" s="3"/>
      <x:c r="D79" s="3"/>
      <x:c r="E79" s="3"/>
      <x:c r="F79" s="3"/>
      <x:c r="G79" s="3"/>
      <x:c r="H79" s="3"/>
      <x:c r="I79" s="3"/>
    </x:row>
    <x:row r="80">
      <x:c r="A80" s="3"/>
      <x:c r="B80" s="3"/>
      <x:c r="C80" s="3"/>
      <x:c r="D80" s="3"/>
      <x:c r="E80" s="3"/>
      <x:c r="F80" s="3"/>
      <x:c r="G80" s="3"/>
      <x:c r="H80" s="3"/>
      <x:c r="I80" s="3"/>
    </x:row>
    <x:row r="81">
      <x:c r="A81" s="3"/>
      <x:c r="B81" s="3"/>
      <x:c r="C81" s="3"/>
      <x:c r="D81" s="3"/>
      <x:c r="E81" s="3"/>
      <x:c r="F81" s="3"/>
      <x:c r="G81" s="3"/>
      <x:c r="H81" s="3"/>
      <x:c r="I81" s="3"/>
    </x:row>
    <x:row r="82">
      <x:c r="A82" s="3"/>
      <x:c r="B82" s="3"/>
      <x:c r="C82" s="3"/>
      <x:c r="D82" s="3"/>
      <x:c r="E82" s="3"/>
      <x:c r="F82" s="3"/>
      <x:c r="G82" s="3"/>
      <x:c r="H82" s="3"/>
      <x:c r="I82" s="3"/>
    </x:row>
    <x:row r="83">
      <x:c r="A83" s="3"/>
      <x:c r="B83" s="3"/>
      <x:c r="C83" s="3"/>
      <x:c r="D83" s="3"/>
      <x:c r="E83" s="3"/>
      <x:c r="F83" s="3"/>
      <x:c r="G83" s="3"/>
      <x:c r="H83" s="3"/>
      <x:c r="I83" s="3"/>
    </x:row>
    <x:row r="84">
      <x:c r="A84" s="3"/>
      <x:c r="B84" s="3"/>
      <x:c r="C84" s="3"/>
      <x:c r="D84" s="3"/>
      <x:c r="E84" s="3"/>
      <x:c r="F84" s="3"/>
      <x:c r="G84" s="3"/>
      <x:c r="H84" s="3"/>
      <x:c r="I84" s="3"/>
    </x:row>
    <x:row r="85">
      <x:c r="A85" s="3"/>
      <x:c r="B85" s="3"/>
      <x:c r="C85" s="3"/>
      <x:c r="D85" s="3"/>
      <x:c r="E85" s="3"/>
      <x:c r="F85" s="3"/>
      <x:c r="G85" s="3"/>
      <x:c r="H85" s="3"/>
      <x:c r="I85" s="3"/>
    </x:row>
    <x:row r="86">
      <x:c r="A86" s="3"/>
      <x:c r="B86" s="3"/>
      <x:c r="C86" s="3"/>
      <x:c r="D86" s="3"/>
      <x:c r="E86" s="3"/>
      <x:c r="F86" s="3"/>
      <x:c r="G86" s="3"/>
      <x:c r="H86" s="3"/>
      <x:c r="I86" s="3"/>
    </x:row>
    <x:row r="87">
      <x:c r="A87" s="3"/>
      <x:c r="B87" s="3"/>
      <x:c r="C87" s="3"/>
      <x:c r="D87" s="3"/>
      <x:c r="E87" s="3"/>
      <x:c r="F87" s="3"/>
      <x:c r="G87" s="3"/>
      <x:c r="H87" s="3"/>
      <x:c r="I87" s="3"/>
    </x:row>
    <x:row r="88">
      <x:c r="A88" s="3"/>
      <x:c r="B88" s="3"/>
      <x:c r="C88" s="3"/>
      <x:c r="D88" s="3"/>
      <x:c r="E88" s="3"/>
      <x:c r="F88" s="3"/>
      <x:c r="G88" s="3"/>
      <x:c r="H88" s="3"/>
      <x:c r="I88" s="3"/>
    </x:row>
    <x:row r="89">
      <x:c r="A89" s="3"/>
      <x:c r="B89" s="3"/>
      <x:c r="C89" s="3"/>
      <x:c r="D89" s="3"/>
      <x:c r="E89" s="3"/>
      <x:c r="F89" s="3"/>
      <x:c r="G89" s="3"/>
      <x:c r="H89" s="3"/>
      <x:c r="I89" s="3"/>
    </x:row>
    <x:row r="90">
      <x:c r="A90" s="3"/>
      <x:c r="B90" s="3"/>
      <x:c r="C90" s="3"/>
      <x:c r="D90" s="3"/>
      <x:c r="E90" s="3"/>
      <x:c r="F90" s="3"/>
      <x:c r="G90" s="3"/>
      <x:c r="H90" s="3"/>
      <x:c r="I90" s="3"/>
    </x:row>
    <x:row r="91">
      <x:c r="A91" s="3"/>
      <x:c r="B91" s="3"/>
      <x:c r="C91" s="3"/>
      <x:c r="D91" s="3"/>
      <x:c r="E91" s="3"/>
      <x:c r="F91" s="3"/>
      <x:c r="G91" s="3"/>
      <x:c r="H91" s="3"/>
      <x:c r="I91" s="3"/>
    </x:row>
    <x:row r="92">
      <x:c r="A92" s="3"/>
      <x:c r="B92" s="3"/>
      <x:c r="C92" s="3"/>
      <x:c r="D92" s="3"/>
      <x:c r="E92" s="3"/>
      <x:c r="F92" s="3"/>
      <x:c r="G92" s="3"/>
      <x:c r="H92" s="3"/>
      <x:c r="I92" s="3"/>
    </x:row>
    <x:row r="93">
      <x:c r="A93" s="3"/>
      <x:c r="B93" s="3"/>
      <x:c r="C93" s="3"/>
      <x:c r="D93" s="3"/>
      <x:c r="E93" s="3"/>
      <x:c r="F93" s="3"/>
      <x:c r="G93" s="3"/>
      <x:c r="H93" s="3"/>
      <x:c r="I93" s="3"/>
    </x:row>
    <x:row r="94">
      <x:c r="A94" s="3"/>
      <x:c r="B94" s="3"/>
      <x:c r="C94" s="3"/>
      <x:c r="D94" s="3"/>
      <x:c r="E94" s="3"/>
      <x:c r="F94" s="3"/>
      <x:c r="G94" s="3"/>
      <x:c r="H94" s="3"/>
      <x:c r="I94" s="3"/>
    </x:row>
    <x:row r="95">
      <x:c r="A95" s="3"/>
      <x:c r="B95" s="3"/>
      <x:c r="C95" s="3"/>
      <x:c r="D95" s="3"/>
      <x:c r="E95" s="3"/>
      <x:c r="F95" s="3"/>
      <x:c r="G95" s="3"/>
      <x:c r="H95" s="3"/>
      <x:c r="I95" s="3"/>
    </x:row>
    <x:row r="96">
      <x:c r="A96" s="3"/>
      <x:c r="B96" s="3"/>
      <x:c r="C96" s="3"/>
      <x:c r="D96" s="3"/>
      <x:c r="E96" s="3"/>
      <x:c r="F96" s="3"/>
      <x:c r="G96" s="3"/>
      <x:c r="H96" s="3"/>
      <x:c r="I96" s="3"/>
    </x:row>
    <x:row r="97">
      <x:c r="A97" s="3"/>
      <x:c r="B97" s="3"/>
      <x:c r="C97" s="3"/>
      <x:c r="D97" s="3"/>
      <x:c r="E97" s="3"/>
      <x:c r="F97" s="3"/>
      <x:c r="G97" s="3"/>
      <x:c r="H97" s="3"/>
      <x:c r="I97" s="3"/>
    </x:row>
    <x:row r="98">
      <x:c r="A98" s="3"/>
      <x:c r="B98" s="3"/>
      <x:c r="C98" s="3"/>
      <x:c r="D98" s="3"/>
      <x:c r="E98" s="3"/>
      <x:c r="F98" s="3"/>
      <x:c r="G98" s="3"/>
      <x:c r="H98" s="3"/>
      <x:c r="I98" s="3"/>
    </x:row>
    <x:row r="99">
      <x:c r="A99" s="3"/>
      <x:c r="B99" s="3"/>
      <x:c r="C99" s="3"/>
      <x:c r="D99" s="3"/>
      <x:c r="E99" s="3"/>
      <x:c r="F99" s="3"/>
      <x:c r="G99" s="3"/>
      <x:c r="H99" s="3"/>
      <x:c r="I99" s="3"/>
    </x:row>
    <x:row r="100">
      <x:c r="A100" s="3"/>
      <x:c r="B100" s="3"/>
      <x:c r="C100" s="3"/>
      <x:c r="D100" s="3"/>
      <x:c r="E100" s="3"/>
      <x:c r="F100" s="3"/>
      <x:c r="G100" s="3"/>
      <x:c r="H100" s="3"/>
      <x:c r="I100" s="3"/>
    </x:row>
  </x:sheetData>
  <x:mergeCells>
    <x:mergeCell ref="A1:F1"/>
    <x:mergeCell ref="B3:F3"/>
    <x:mergeCell ref="B4:F4"/>
    <x:mergeCell ref="B5:F5"/>
    <x:mergeCell ref="B6:F6"/>
    <x:mergeCell ref="B7:F7"/>
    <x:mergeCell ref="B8:F8"/>
    <x:mergeCell ref="B9:F9"/>
    <x:mergeCell ref="B10:F10"/>
    <x:mergeCell ref="B11:F11"/>
    <x:mergeCell ref="A14:F14"/>
    <x:mergeCell ref="A16:B16"/>
    <x:mergeCell ref="D16:F16"/>
    <x:mergeCell ref="A17:B17"/>
    <x:mergeCell ref="D17:F17"/>
    <x:mergeCell ref="A18:B18"/>
    <x:mergeCell ref="D18:F18"/>
    <x:mergeCell ref="A19:B19"/>
    <x:mergeCell ref="D19:F19"/>
    <x:mergeCell ref="A20:B20"/>
    <x:mergeCell ref="D20:F20"/>
    <x:mergeCell ref="A21:B21"/>
    <x:mergeCell ref="D21:F21"/>
    <x:mergeCell ref="B23:F23"/>
    <x:mergeCell ref="A26:F26"/>
    <x:mergeCell ref="C28:F28"/>
    <x:mergeCell ref="C29:F29"/>
    <x:mergeCell ref="C30:F30"/>
    <x:mergeCell ref="C31:F31"/>
    <x:mergeCell ref="C32:F32"/>
    <x:mergeCell ref="C33:F33"/>
    <x:mergeCell ref="C34:F34"/>
    <x:mergeCell ref="C35:F35"/>
    <x:mergeCell ref="C36:F36"/>
    <x:mergeCell ref="C37:F37"/>
    <x:mergeCell ref="C38:F38"/>
    <x:mergeCell ref="C39:F39"/>
    <x:mergeCell ref="C40:F40"/>
    <x:mergeCell ref="C41:F41"/>
    <x:mergeCell ref="C42:F42"/>
    <x:mergeCell ref="A45:F45"/>
  </x:mergeCells>
  <x:pageMargins left="0.7" right="0.7" top="0.75" bottom="0.75" header="0.3" footer="0.3"/>
</x:worksheet>
</file>